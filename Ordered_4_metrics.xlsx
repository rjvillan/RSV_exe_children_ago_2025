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ings" sheetId="1" state="visible" r:id="rId3"/>
    <sheet name="Data &amp; 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<sst xmlns="http://schemas.openxmlformats.org/spreadsheetml/2006/main" count="550" uniqueCount="145">
  <si>
    <t xml:space="preserve">#</t>
  </si>
  <si>
    <t xml:space="preserve">Strategy</t>
  </si>
  <si>
    <t xml:space="preserve">Hospitalizations avoided (decreasing)</t>
  </si>
  <si>
    <t xml:space="preserve">NNI (increasing)</t>
  </si>
  <si>
    <t xml:space="preserve">Burden per immunized (increasing)</t>
  </si>
  <si>
    <t xml:space="preserve">Ranking</t>
  </si>
  <si>
    <t xml:space="preserve">Oct - Mar</t>
  </si>
  <si>
    <t xml:space="preserve">Dec</t>
  </si>
  <si>
    <t xml:space="preserve">Oct - Apr</t>
  </si>
  <si>
    <t xml:space="preserve">Nov - Dec</t>
  </si>
  <si>
    <t xml:space="preserve">Oct - Jun</t>
  </si>
  <si>
    <t xml:space="preserve">Nov</t>
  </si>
  <si>
    <t xml:space="preserve">Oct - May</t>
  </si>
  <si>
    <t xml:space="preserve">Dec - Jan</t>
  </si>
  <si>
    <t xml:space="preserve">Sep - Apr</t>
  </si>
  <si>
    <t xml:space="preserve">Nov - Jan</t>
  </si>
  <si>
    <t xml:space="preserve">Sep - Mar</t>
  </si>
  <si>
    <t xml:space="preserve">Oct - Dec</t>
  </si>
  <si>
    <t xml:space="preserve">Sep - May</t>
  </si>
  <si>
    <t xml:space="preserve">Dec - Feb</t>
  </si>
  <si>
    <t xml:space="preserve">Oct - Jul</t>
  </si>
  <si>
    <t xml:space="preserve">Oct - Feb</t>
  </si>
  <si>
    <t xml:space="preserve">Nov - Feb</t>
  </si>
  <si>
    <t xml:space="preserve">Sep - Jun</t>
  </si>
  <si>
    <t xml:space="preserve">Oct - Jan</t>
  </si>
  <si>
    <t xml:space="preserve">Sep - Jul</t>
  </si>
  <si>
    <t xml:space="preserve">Oct - Nov</t>
  </si>
  <si>
    <t xml:space="preserve">Jan</t>
  </si>
  <si>
    <t xml:space="preserve">Aug - Apr</t>
  </si>
  <si>
    <t xml:space="preserve">Oct</t>
  </si>
  <si>
    <t xml:space="preserve">Oct - Aug</t>
  </si>
  <si>
    <t xml:space="preserve">Sep - Feb</t>
  </si>
  <si>
    <t xml:space="preserve">Aug - Jun</t>
  </si>
  <si>
    <t xml:space="preserve">Sep - Dec</t>
  </si>
  <si>
    <t xml:space="preserve">Nov - Jun</t>
  </si>
  <si>
    <t xml:space="preserve">Nov - Mar</t>
  </si>
  <si>
    <t xml:space="preserve">Aug - May</t>
  </si>
  <si>
    <t xml:space="preserve">Dec - Mar</t>
  </si>
  <si>
    <t xml:space="preserve">Nov - Jul</t>
  </si>
  <si>
    <t xml:space="preserve">Nov - May</t>
  </si>
  <si>
    <t xml:space="preserve">Sep - Jan</t>
  </si>
  <si>
    <t xml:space="preserve">Sep - Nov</t>
  </si>
  <si>
    <t xml:space="preserve">Aug - Mar</t>
  </si>
  <si>
    <t xml:space="preserve">Jul - Mar</t>
  </si>
  <si>
    <t xml:space="preserve">Jan - Feb</t>
  </si>
  <si>
    <t xml:space="preserve">Jul - Apr</t>
  </si>
  <si>
    <t xml:space="preserve">Jun - Mar</t>
  </si>
  <si>
    <t xml:space="preserve">Nov - Apr</t>
  </si>
  <si>
    <t xml:space="preserve">Nov - Sep</t>
  </si>
  <si>
    <t xml:space="preserve">Dec - Apr</t>
  </si>
  <si>
    <t xml:space="preserve">Jan - Dec</t>
  </si>
  <si>
    <t xml:space="preserve">Aug - Dec</t>
  </si>
  <si>
    <t xml:space="preserve">Nov - Aug</t>
  </si>
  <si>
    <t xml:space="preserve">Jul - May</t>
  </si>
  <si>
    <t xml:space="preserve">Aug - Jan</t>
  </si>
  <si>
    <t xml:space="preserve">Jun - Apr</t>
  </si>
  <si>
    <t xml:space="preserve">Aug - Feb</t>
  </si>
  <si>
    <t xml:space="preserve">May - Mar</t>
  </si>
  <si>
    <t xml:space="preserve">Apr - Feb</t>
  </si>
  <si>
    <t xml:space="preserve">Jun - Feb</t>
  </si>
  <si>
    <t xml:space="preserve">May - Feb</t>
  </si>
  <si>
    <t xml:space="preserve">Sep - Oct</t>
  </si>
  <si>
    <t xml:space="preserve">Jul - Feb</t>
  </si>
  <si>
    <t xml:space="preserve">Dec - Oct</t>
  </si>
  <si>
    <t xml:space="preserve">Mar - Jan</t>
  </si>
  <si>
    <t xml:space="preserve">Apr - Jan</t>
  </si>
  <si>
    <t xml:space="preserve">May - Jan</t>
  </si>
  <si>
    <t xml:space="preserve">Jun - Jan</t>
  </si>
  <si>
    <t xml:space="preserve">Jul - Jan</t>
  </si>
  <si>
    <t xml:space="preserve">Dec - Sep</t>
  </si>
  <si>
    <t xml:space="preserve">Feb - Dec</t>
  </si>
  <si>
    <t xml:space="preserve">Jan - Nov</t>
  </si>
  <si>
    <t xml:space="preserve">Dec - Aug</t>
  </si>
  <si>
    <t xml:space="preserve">Dec - Jul</t>
  </si>
  <si>
    <t xml:space="preserve">Mar - Dec</t>
  </si>
  <si>
    <t xml:space="preserve">Dec - Jun</t>
  </si>
  <si>
    <t xml:space="preserve">Jun - Dec</t>
  </si>
  <si>
    <t xml:space="preserve">Apr - Dec</t>
  </si>
  <si>
    <t xml:space="preserve">May - Dec</t>
  </si>
  <si>
    <t xml:space="preserve">Jan - Oct</t>
  </si>
  <si>
    <t xml:space="preserve">Jul - Dec</t>
  </si>
  <si>
    <t xml:space="preserve">Aug - Nov</t>
  </si>
  <si>
    <t xml:space="preserve">Dec - May</t>
  </si>
  <si>
    <t xml:space="preserve">Feb - Nov</t>
  </si>
  <si>
    <t xml:space="preserve">Jan - Sep</t>
  </si>
  <si>
    <t xml:space="preserve">Mar - Nov</t>
  </si>
  <si>
    <t xml:space="preserve">May - Nov</t>
  </si>
  <si>
    <t xml:space="preserve">Jan - Mar</t>
  </si>
  <si>
    <t xml:space="preserve">Apr - Nov</t>
  </si>
  <si>
    <t xml:space="preserve">Feb - Oct</t>
  </si>
  <si>
    <t xml:space="preserve">Jun - Nov</t>
  </si>
  <si>
    <t xml:space="preserve">Jan - Aug</t>
  </si>
  <si>
    <t xml:space="preserve">Jul - Nov</t>
  </si>
  <si>
    <t xml:space="preserve">Sep</t>
  </si>
  <si>
    <t xml:space="preserve">Jan - Jul</t>
  </si>
  <si>
    <t xml:space="preserve">Mar - Oct</t>
  </si>
  <si>
    <t xml:space="preserve">Aug - Oct</t>
  </si>
  <si>
    <t xml:space="preserve">Feb - Sep</t>
  </si>
  <si>
    <t xml:space="preserve">Apr - Oct</t>
  </si>
  <si>
    <t xml:space="preserve">May - Oct</t>
  </si>
  <si>
    <t xml:space="preserve">Jan - Apr</t>
  </si>
  <si>
    <t xml:space="preserve">Jan - Jun</t>
  </si>
  <si>
    <t xml:space="preserve">Jun - Oct</t>
  </si>
  <si>
    <t xml:space="preserve">Jul - Oct</t>
  </si>
  <si>
    <t xml:space="preserve">Mar - Sep</t>
  </si>
  <si>
    <t xml:space="preserve">Feb - Aug</t>
  </si>
  <si>
    <t xml:space="preserve">Jan - May</t>
  </si>
  <si>
    <t xml:space="preserve">Aug - Sep</t>
  </si>
  <si>
    <t xml:space="preserve">Apr - Sep</t>
  </si>
  <si>
    <t xml:space="preserve">Feb</t>
  </si>
  <si>
    <t xml:space="preserve">May - Sep</t>
  </si>
  <si>
    <t xml:space="preserve">Feb - Jul</t>
  </si>
  <si>
    <t xml:space="preserve">Jun - Sep</t>
  </si>
  <si>
    <t xml:space="preserve">Mar - Aug</t>
  </si>
  <si>
    <t xml:space="preserve">Jul - Sep</t>
  </si>
  <si>
    <t xml:space="preserve">Feb - Mar</t>
  </si>
  <si>
    <t xml:space="preserve">Aug</t>
  </si>
  <si>
    <t xml:space="preserve">Apr - Aug</t>
  </si>
  <si>
    <t xml:space="preserve">Feb - Apr</t>
  </si>
  <si>
    <t xml:space="preserve">Feb - Jun</t>
  </si>
  <si>
    <t xml:space="preserve">May - Aug</t>
  </si>
  <si>
    <t xml:space="preserve">Mar - Jul</t>
  </si>
  <si>
    <t xml:space="preserve">Jul - Aug</t>
  </si>
  <si>
    <t xml:space="preserve">Jun - Aug</t>
  </si>
  <si>
    <t xml:space="preserve">Feb - May</t>
  </si>
  <si>
    <t xml:space="preserve">Apr - Jul</t>
  </si>
  <si>
    <t xml:space="preserve">Mar</t>
  </si>
  <si>
    <t xml:space="preserve">Mar - Jun</t>
  </si>
  <si>
    <t xml:space="preserve">May - Jul</t>
  </si>
  <si>
    <t xml:space="preserve">Jul</t>
  </si>
  <si>
    <t xml:space="preserve">Mar - Apr</t>
  </si>
  <si>
    <t xml:space="preserve">Jun - Jul</t>
  </si>
  <si>
    <t xml:space="preserve">Apr - Jun</t>
  </si>
  <si>
    <t xml:space="preserve">Mar - May</t>
  </si>
  <si>
    <t xml:space="preserve">May - Jun</t>
  </si>
  <si>
    <t xml:space="preserve">Apr - May</t>
  </si>
  <si>
    <t xml:space="preserve">Apr</t>
  </si>
  <si>
    <t xml:space="preserve">Jun</t>
  </si>
  <si>
    <t xml:space="preserve">May</t>
  </si>
  <si>
    <t xml:space="preserve">Mean immunized</t>
  </si>
  <si>
    <t xml:space="preserve">Mean hospitalized</t>
  </si>
  <si>
    <t xml:space="preserve">Hospitalizations avoided</t>
  </si>
  <si>
    <t xml:space="preserve">NNI</t>
  </si>
  <si>
    <t xml:space="preserve">Burden per immunized</t>
  </si>
  <si>
    <t xml:space="preserve">Hospitalized no inmunization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</si>
</sst>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8D1D75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rgb="FFB85C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D1D75"/>
          <bgColor rgb="FF000000"/>
        </patternFill>
      </fill>
    </dxf>
    <dxf>
      <fill>
        <patternFill patternType="solid">
          <fgColor rgb="FFB85C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D1D75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M2" activeCellId="0" sqref="M2"/>
    </sheetView>
  </sheetViews>
  <sheetFormatPr defaultColWidth="10.16015625" defaultRowHeight="13.8" customHeight="true" zeroHeight="false" outlineLevelRow="0" outlineLevelCol="0"/>
  <cols>
    <col collapsed="false" customWidth="true" hidden="false" outlineLevel="0" max="1" min="1" style="1" width="4.69"/>
    <col collapsed="false" customWidth="true" hidden="false" outlineLevel="0" max="2" min="2" style="1" width="10.09"/>
    <col collapsed="false" customWidth="true" hidden="false" outlineLevel="0" max="3" min="3" style="1" width="16.39"/>
    <col collapsed="false" customWidth="true" hidden="false" outlineLevel="0" max="6" min="6" style="1" width="4.69"/>
    <col collapsed="false" customWidth="true" hidden="false" outlineLevel="0" max="7" min="7" style="1" width="10.09"/>
    <col collapsed="false" customWidth="true" hidden="false" outlineLevel="0" max="8" min="8" style="0" width="11.54"/>
    <col collapsed="false" customWidth="true" hidden="false" outlineLevel="0" max="11" min="11" style="1" width="4.69"/>
    <col collapsed="false" customWidth="true" hidden="false" outlineLevel="0" max="12" min="12" style="1" width="10.09"/>
    <col collapsed="false" customWidth="true" hidden="false" outlineLevel="0" max="13" min="13" style="1" width="15.24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3" t="s">
        <v>2</v>
      </c>
      <c r="F1" s="2" t="s">
        <v>0</v>
      </c>
      <c r="G1" s="2" t="s">
        <v>1</v>
      </c>
      <c r="H1" s="4" t="s">
        <v>3</v>
      </c>
      <c r="K1" s="2" t="s">
        <v>0</v>
      </c>
      <c r="L1" s="2" t="s">
        <v>1</v>
      </c>
      <c r="M1" s="2" t="s">
        <v>4</v>
      </c>
      <c r="P1" s="3" t="s">
        <v>5</v>
      </c>
    </row>
    <row r="2" customFormat="false" ht="13.8" hidden="false" customHeight="false" outlineLevel="0" collapsed="false">
      <c r="A2" s="5" t="n">
        <v>64</v>
      </c>
      <c r="B2" s="6" t="s">
        <v>6</v>
      </c>
      <c r="C2" s="1" t="n">
        <v>583</v>
      </c>
      <c r="F2" s="5" t="n">
        <v>122</v>
      </c>
      <c r="G2" s="5" t="s">
        <v>7</v>
      </c>
      <c r="H2" s="7" t="n">
        <v>46.8926829268293</v>
      </c>
      <c r="K2" s="5" t="n">
        <v>52</v>
      </c>
      <c r="L2" s="8" t="s">
        <v>8</v>
      </c>
      <c r="M2" s="9" t="n">
        <v>0.00642763106946488</v>
      </c>
      <c r="P2" s="10" t="n">
        <v>1</v>
      </c>
    </row>
    <row r="3" customFormat="false" ht="13.8" hidden="false" customHeight="false" outlineLevel="0" collapsed="false">
      <c r="A3" s="5" t="n">
        <v>52</v>
      </c>
      <c r="B3" s="8" t="s">
        <v>8</v>
      </c>
      <c r="C3" s="1" t="n">
        <v>581</v>
      </c>
      <c r="F3" s="5" t="n">
        <v>111</v>
      </c>
      <c r="G3" s="5" t="s">
        <v>9</v>
      </c>
      <c r="H3" s="7" t="n">
        <v>48.4908722109534</v>
      </c>
      <c r="K3" s="5" t="n">
        <v>28</v>
      </c>
      <c r="L3" s="5" t="s">
        <v>10</v>
      </c>
      <c r="M3" s="9" t="n">
        <v>0.00643881834805677</v>
      </c>
      <c r="P3" s="10" t="n">
        <v>2</v>
      </c>
    </row>
    <row r="4" customFormat="false" ht="13.8" hidden="false" customHeight="false" outlineLevel="0" collapsed="false">
      <c r="A4" s="5" t="n">
        <v>28</v>
      </c>
      <c r="B4" s="5" t="s">
        <v>10</v>
      </c>
      <c r="C4" s="1" t="n">
        <v>580</v>
      </c>
      <c r="F4" s="5" t="n">
        <v>123</v>
      </c>
      <c r="G4" s="5" t="s">
        <v>11</v>
      </c>
      <c r="H4" s="7" t="n">
        <v>48.7102137767221</v>
      </c>
      <c r="K4" s="5" t="n">
        <v>40</v>
      </c>
      <c r="L4" s="5" t="s">
        <v>12</v>
      </c>
      <c r="M4" s="9" t="n">
        <v>0.0064406430338005</v>
      </c>
      <c r="P4" s="10" t="n">
        <v>3</v>
      </c>
    </row>
    <row r="5" customFormat="false" ht="13.8" hidden="false" customHeight="false" outlineLevel="0" collapsed="false">
      <c r="A5" s="5" t="n">
        <v>40</v>
      </c>
      <c r="B5" s="5" t="s">
        <v>12</v>
      </c>
      <c r="C5" s="1" t="n">
        <v>580</v>
      </c>
      <c r="F5" s="5" t="n">
        <v>110</v>
      </c>
      <c r="G5" s="5" t="s">
        <v>13</v>
      </c>
      <c r="H5" s="7" t="n">
        <v>49.4781659388646</v>
      </c>
      <c r="K5" s="5" t="n">
        <v>41</v>
      </c>
      <c r="L5" s="11" t="s">
        <v>14</v>
      </c>
      <c r="M5" s="9" t="n">
        <v>0.00652393403577808</v>
      </c>
      <c r="P5" s="10" t="n">
        <v>4</v>
      </c>
    </row>
    <row r="6" customFormat="false" ht="13.8" hidden="false" customHeight="false" outlineLevel="0" collapsed="false">
      <c r="A6" s="5" t="n">
        <v>41</v>
      </c>
      <c r="B6" s="11" t="s">
        <v>14</v>
      </c>
      <c r="C6" s="1" t="n">
        <v>578</v>
      </c>
      <c r="F6" s="5" t="n">
        <v>99</v>
      </c>
      <c r="G6" s="5" t="s">
        <v>15</v>
      </c>
      <c r="H6" s="7" t="n">
        <v>50.1816513761468</v>
      </c>
      <c r="K6" s="5" t="n">
        <v>53</v>
      </c>
      <c r="L6" s="5" t="s">
        <v>16</v>
      </c>
      <c r="M6" s="9" t="n">
        <v>0.00659021327383115</v>
      </c>
      <c r="P6" s="10" t="n">
        <v>5</v>
      </c>
    </row>
    <row r="7" customFormat="false" ht="13.8" hidden="false" customHeight="false" outlineLevel="0" collapsed="false">
      <c r="A7" s="5" t="n">
        <v>53</v>
      </c>
      <c r="B7" s="5" t="s">
        <v>16</v>
      </c>
      <c r="C7" s="1" t="n">
        <v>576</v>
      </c>
      <c r="F7" s="5" t="n">
        <v>100</v>
      </c>
      <c r="G7" s="5" t="s">
        <v>17</v>
      </c>
      <c r="H7" s="7" t="n">
        <v>52.9417475728155</v>
      </c>
      <c r="K7" s="5" t="n">
        <v>29</v>
      </c>
      <c r="L7" s="5" t="s">
        <v>18</v>
      </c>
      <c r="M7" s="9" t="n">
        <v>0.00659187260883052</v>
      </c>
      <c r="P7" s="10" t="n">
        <v>6</v>
      </c>
    </row>
    <row r="8" customFormat="false" ht="13.8" hidden="false" customHeight="false" outlineLevel="0" collapsed="false">
      <c r="A8" s="5" t="n">
        <v>29</v>
      </c>
      <c r="B8" s="5" t="s">
        <v>18</v>
      </c>
      <c r="C8" s="1" t="n">
        <v>575</v>
      </c>
      <c r="F8" s="5" t="n">
        <v>98</v>
      </c>
      <c r="G8" s="5" t="s">
        <v>19</v>
      </c>
      <c r="H8" s="7" t="n">
        <v>53.4095634095634</v>
      </c>
      <c r="K8" s="5" t="n">
        <v>16</v>
      </c>
      <c r="L8" s="5" t="s">
        <v>20</v>
      </c>
      <c r="M8" s="9" t="n">
        <v>0.00663682667078253</v>
      </c>
      <c r="P8" s="10" t="n">
        <v>7</v>
      </c>
    </row>
    <row r="9" customFormat="false" ht="13.8" hidden="false" customHeight="false" outlineLevel="0" collapsed="false">
      <c r="A9" s="5" t="n">
        <v>76</v>
      </c>
      <c r="B9" s="5" t="s">
        <v>21</v>
      </c>
      <c r="C9" s="1" t="n">
        <v>574</v>
      </c>
      <c r="F9" s="5" t="n">
        <v>87</v>
      </c>
      <c r="G9" s="5" t="s">
        <v>22</v>
      </c>
      <c r="H9" s="7" t="n">
        <v>54.1771019677996</v>
      </c>
      <c r="K9" s="5" t="n">
        <v>17</v>
      </c>
      <c r="L9" s="5" t="s">
        <v>23</v>
      </c>
      <c r="M9" s="9" t="n">
        <v>0.00668663189962307</v>
      </c>
      <c r="P9" s="10" t="n">
        <v>8</v>
      </c>
    </row>
    <row r="10" customFormat="false" ht="13.8" hidden="false" customHeight="false" outlineLevel="0" collapsed="false">
      <c r="A10" s="5" t="n">
        <v>16</v>
      </c>
      <c r="B10" s="5" t="s">
        <v>20</v>
      </c>
      <c r="C10" s="1" t="n">
        <v>572</v>
      </c>
      <c r="F10" s="5" t="n">
        <v>88</v>
      </c>
      <c r="G10" s="5" t="s">
        <v>24</v>
      </c>
      <c r="H10" s="7" t="n">
        <v>55.0305206463196</v>
      </c>
      <c r="K10" s="5" t="n">
        <v>5</v>
      </c>
      <c r="L10" s="5" t="s">
        <v>25</v>
      </c>
      <c r="M10" s="9" t="n">
        <v>0.00669913168946948</v>
      </c>
      <c r="P10" s="10" t="n">
        <v>9</v>
      </c>
    </row>
    <row r="11" customFormat="false" ht="13.8" hidden="false" customHeight="false" outlineLevel="0" collapsed="false">
      <c r="A11" s="5" t="n">
        <v>17</v>
      </c>
      <c r="B11" s="5" t="s">
        <v>23</v>
      </c>
      <c r="C11" s="1" t="n">
        <v>571</v>
      </c>
      <c r="F11" s="5" t="n">
        <v>112</v>
      </c>
      <c r="G11" s="5" t="s">
        <v>26</v>
      </c>
      <c r="H11" s="7" t="n">
        <v>55.2731481481481</v>
      </c>
      <c r="K11" s="5" t="n">
        <v>64</v>
      </c>
      <c r="L11" s="6" t="s">
        <v>6</v>
      </c>
      <c r="M11" s="9" t="n">
        <v>0.00670430486944248</v>
      </c>
      <c r="P11" s="10" t="n">
        <v>10</v>
      </c>
    </row>
    <row r="12" customFormat="false" ht="13.8" hidden="false" customHeight="false" outlineLevel="0" collapsed="false">
      <c r="A12" s="5" t="n">
        <v>5</v>
      </c>
      <c r="B12" s="5" t="s">
        <v>25</v>
      </c>
      <c r="C12" s="1" t="n">
        <v>570</v>
      </c>
      <c r="F12" s="5" t="n">
        <v>133</v>
      </c>
      <c r="G12" s="5" t="s">
        <v>27</v>
      </c>
      <c r="H12" s="7" t="n">
        <v>56.2551020408163</v>
      </c>
      <c r="K12" s="5" t="n">
        <v>30</v>
      </c>
      <c r="L12" s="5" t="s">
        <v>28</v>
      </c>
      <c r="M12" s="9" t="n">
        <v>0.00672164628629043</v>
      </c>
      <c r="P12" s="10" t="n">
        <v>11</v>
      </c>
    </row>
    <row r="13" customFormat="false" ht="13.8" hidden="false" customHeight="false" outlineLevel="0" collapsed="false">
      <c r="A13" s="5" t="n">
        <v>30</v>
      </c>
      <c r="B13" s="5" t="s">
        <v>28</v>
      </c>
      <c r="C13" s="1" t="n">
        <v>570</v>
      </c>
      <c r="F13" s="5" t="n">
        <v>124</v>
      </c>
      <c r="G13" s="5" t="s">
        <v>29</v>
      </c>
      <c r="H13" s="7" t="n">
        <v>57.6806722689076</v>
      </c>
      <c r="K13" s="5" t="n">
        <v>4</v>
      </c>
      <c r="L13" s="5" t="s">
        <v>30</v>
      </c>
      <c r="M13" s="9" t="n">
        <v>0.00674492843167542</v>
      </c>
      <c r="P13" s="10" t="n">
        <v>12</v>
      </c>
    </row>
    <row r="14" customFormat="false" ht="13.8" hidden="false" customHeight="false" outlineLevel="0" collapsed="false">
      <c r="A14" s="5" t="n">
        <v>65</v>
      </c>
      <c r="B14" s="5" t="s">
        <v>31</v>
      </c>
      <c r="C14" s="1" t="n">
        <v>569</v>
      </c>
      <c r="F14" s="5" t="n">
        <v>76</v>
      </c>
      <c r="G14" s="5" t="s">
        <v>21</v>
      </c>
      <c r="H14" s="7" t="n">
        <v>58.5557491289199</v>
      </c>
      <c r="K14" s="5" t="n">
        <v>6</v>
      </c>
      <c r="L14" s="5" t="s">
        <v>32</v>
      </c>
      <c r="M14" s="9" t="n">
        <v>0.00675588561408937</v>
      </c>
      <c r="P14" s="10" t="n">
        <v>13</v>
      </c>
    </row>
    <row r="15" customFormat="false" ht="13.8" hidden="false" customHeight="false" outlineLevel="0" collapsed="false">
      <c r="A15" s="5" t="n">
        <v>4</v>
      </c>
      <c r="B15" s="5" t="s">
        <v>30</v>
      </c>
      <c r="C15" s="1" t="n">
        <v>568</v>
      </c>
      <c r="F15" s="5" t="n">
        <v>89</v>
      </c>
      <c r="G15" s="5" t="s">
        <v>33</v>
      </c>
      <c r="H15" s="7" t="n">
        <v>59.2814960629921</v>
      </c>
      <c r="K15" s="5" t="n">
        <v>39</v>
      </c>
      <c r="L15" s="5" t="s">
        <v>34</v>
      </c>
      <c r="M15" s="9" t="n">
        <v>0.00678721309776696</v>
      </c>
      <c r="P15" s="10" t="n">
        <v>14</v>
      </c>
    </row>
    <row r="16" customFormat="false" ht="13.8" hidden="false" customHeight="false" outlineLevel="0" collapsed="false">
      <c r="A16" s="5" t="n">
        <v>6</v>
      </c>
      <c r="B16" s="5" t="s">
        <v>32</v>
      </c>
      <c r="C16" s="1" t="n">
        <v>568</v>
      </c>
      <c r="F16" s="5" t="n">
        <v>75</v>
      </c>
      <c r="G16" s="5" t="s">
        <v>35</v>
      </c>
      <c r="H16" s="7" t="n">
        <v>59.3026548672566</v>
      </c>
      <c r="K16" s="5" t="n">
        <v>18</v>
      </c>
      <c r="L16" s="5" t="s">
        <v>36</v>
      </c>
      <c r="M16" s="9" t="n">
        <v>0.00679095228258624</v>
      </c>
      <c r="P16" s="10" t="n">
        <v>15</v>
      </c>
    </row>
    <row r="17" customFormat="false" ht="13.8" hidden="false" customHeight="false" outlineLevel="0" collapsed="false">
      <c r="A17" s="5" t="n">
        <v>39</v>
      </c>
      <c r="B17" s="5" t="s">
        <v>34</v>
      </c>
      <c r="C17" s="1" t="n">
        <v>568</v>
      </c>
      <c r="F17" s="5" t="n">
        <v>86</v>
      </c>
      <c r="G17" s="5" t="s">
        <v>37</v>
      </c>
      <c r="H17" s="7" t="n">
        <v>59.4794238683128</v>
      </c>
      <c r="K17" s="5" t="n">
        <v>27</v>
      </c>
      <c r="L17" s="5" t="s">
        <v>38</v>
      </c>
      <c r="M17" s="9" t="n">
        <v>0.00679674376534436</v>
      </c>
      <c r="P17" s="10" t="n">
        <v>16</v>
      </c>
    </row>
    <row r="18" customFormat="false" ht="13.8" hidden="false" customHeight="false" outlineLevel="0" collapsed="false">
      <c r="A18" s="5" t="n">
        <v>51</v>
      </c>
      <c r="B18" s="5" t="s">
        <v>39</v>
      </c>
      <c r="C18" s="1" t="n">
        <v>568</v>
      </c>
      <c r="F18" s="5" t="n">
        <v>77</v>
      </c>
      <c r="G18" s="5" t="s">
        <v>40</v>
      </c>
      <c r="H18" s="7" t="n">
        <v>60.5036101083033</v>
      </c>
      <c r="K18" s="5" t="n">
        <v>51</v>
      </c>
      <c r="L18" s="5" t="s">
        <v>39</v>
      </c>
      <c r="M18" s="9" t="n">
        <v>0.00680325101918932</v>
      </c>
      <c r="P18" s="10" t="n">
        <v>17</v>
      </c>
    </row>
    <row r="19" customFormat="false" ht="13.8" hidden="false" customHeight="false" outlineLevel="0" collapsed="false">
      <c r="A19" s="5" t="n">
        <v>18</v>
      </c>
      <c r="B19" s="5" t="s">
        <v>36</v>
      </c>
      <c r="C19" s="1" t="n">
        <v>567</v>
      </c>
      <c r="F19" s="5" t="n">
        <v>101</v>
      </c>
      <c r="G19" s="5" t="s">
        <v>41</v>
      </c>
      <c r="H19" s="7" t="n">
        <v>61.7182448036952</v>
      </c>
      <c r="K19" s="5" t="n">
        <v>42</v>
      </c>
      <c r="L19" s="5" t="s">
        <v>42</v>
      </c>
      <c r="M19" s="9" t="n">
        <v>0.00680518539602039</v>
      </c>
      <c r="P19" s="10" t="n">
        <v>18</v>
      </c>
    </row>
    <row r="20" customFormat="false" ht="13.8" hidden="false" customHeight="false" outlineLevel="0" collapsed="false">
      <c r="A20" s="12" t="n">
        <v>27</v>
      </c>
      <c r="B20" s="12" t="s">
        <v>38</v>
      </c>
      <c r="C20" s="13" t="n">
        <v>567</v>
      </c>
      <c r="D20" s="14"/>
      <c r="E20" s="14"/>
      <c r="F20" s="12" t="n">
        <v>64</v>
      </c>
      <c r="G20" s="15" t="s">
        <v>6</v>
      </c>
      <c r="H20" s="16" t="n">
        <v>63.1938250428817</v>
      </c>
      <c r="I20" s="14"/>
      <c r="J20" s="14"/>
      <c r="K20" s="12" t="n">
        <v>31</v>
      </c>
      <c r="L20" s="12" t="s">
        <v>43</v>
      </c>
      <c r="M20" s="17" t="n">
        <v>0.00683447671119823</v>
      </c>
      <c r="N20" s="14"/>
      <c r="O20" s="18" t="n">
        <v>19</v>
      </c>
      <c r="P20" s="10" t="n">
        <v>19</v>
      </c>
    </row>
    <row r="21" customFormat="false" ht="13.8" hidden="false" customHeight="false" outlineLevel="0" collapsed="false">
      <c r="A21" s="5" t="n">
        <v>42</v>
      </c>
      <c r="B21" s="5" t="s">
        <v>42</v>
      </c>
      <c r="C21" s="1" t="n">
        <v>567</v>
      </c>
      <c r="F21" s="5" t="n">
        <v>121</v>
      </c>
      <c r="G21" s="5" t="s">
        <v>44</v>
      </c>
      <c r="H21" s="7" t="n">
        <v>63.4459016393443</v>
      </c>
      <c r="K21" s="5" t="n">
        <v>19</v>
      </c>
      <c r="L21" s="5" t="s">
        <v>45</v>
      </c>
      <c r="M21" s="9" t="n">
        <v>0.00685249111237055</v>
      </c>
      <c r="P21" s="10" t="n">
        <v>20</v>
      </c>
    </row>
    <row r="22" customFormat="false" ht="13.8" hidden="false" customHeight="false" outlineLevel="0" collapsed="false">
      <c r="A22" s="5" t="n">
        <v>31</v>
      </c>
      <c r="B22" s="5" t="s">
        <v>43</v>
      </c>
      <c r="C22" s="1" t="n">
        <v>565</v>
      </c>
      <c r="F22" s="5" t="n">
        <v>65</v>
      </c>
      <c r="G22" s="5" t="s">
        <v>31</v>
      </c>
      <c r="H22" s="7" t="n">
        <v>64.0474516695958</v>
      </c>
      <c r="K22" s="5" t="n">
        <v>20</v>
      </c>
      <c r="L22" s="5" t="s">
        <v>46</v>
      </c>
      <c r="M22" s="9" t="n">
        <v>0.00685796787583469</v>
      </c>
      <c r="P22" s="10" t="n">
        <v>21</v>
      </c>
    </row>
    <row r="23" customFormat="false" ht="13.8" hidden="false" customHeight="false" outlineLevel="0" collapsed="false">
      <c r="A23" s="5" t="n">
        <v>63</v>
      </c>
      <c r="B23" s="5" t="s">
        <v>47</v>
      </c>
      <c r="C23" s="1" t="n">
        <v>565</v>
      </c>
      <c r="F23" s="5" t="n">
        <v>63</v>
      </c>
      <c r="G23" s="5" t="s">
        <v>47</v>
      </c>
      <c r="H23" s="7" t="n">
        <v>64.6902654867257</v>
      </c>
      <c r="K23" s="5" t="n">
        <v>3</v>
      </c>
      <c r="L23" s="5" t="s">
        <v>48</v>
      </c>
      <c r="M23" s="9" t="n">
        <v>0.00686132893107718</v>
      </c>
      <c r="P23" s="10" t="n">
        <v>22</v>
      </c>
    </row>
    <row r="24" customFormat="false" ht="13.8" hidden="false" customHeight="false" outlineLevel="0" collapsed="false">
      <c r="A24" s="5" t="n">
        <v>75</v>
      </c>
      <c r="B24" s="5" t="s">
        <v>35</v>
      </c>
      <c r="C24" s="1" t="n">
        <v>565</v>
      </c>
      <c r="F24" s="5" t="n">
        <v>74</v>
      </c>
      <c r="G24" s="5" t="s">
        <v>49</v>
      </c>
      <c r="H24" s="7" t="n">
        <v>65.6817248459959</v>
      </c>
      <c r="K24" s="5" t="n">
        <v>1</v>
      </c>
      <c r="L24" s="5" t="s">
        <v>50</v>
      </c>
      <c r="M24" s="9" t="n">
        <v>0.00687789799072643</v>
      </c>
      <c r="P24" s="10" t="n">
        <v>23</v>
      </c>
    </row>
    <row r="25" customFormat="false" ht="13.8" hidden="false" customHeight="false" outlineLevel="0" collapsed="false">
      <c r="A25" s="5" t="n">
        <v>3</v>
      </c>
      <c r="B25" s="5" t="s">
        <v>48</v>
      </c>
      <c r="C25" s="1" t="n">
        <v>564</v>
      </c>
      <c r="F25" s="5" t="n">
        <v>78</v>
      </c>
      <c r="G25" s="5" t="s">
        <v>51</v>
      </c>
      <c r="H25" s="7" t="n">
        <v>66.3053892215569</v>
      </c>
      <c r="K25" s="5" t="n">
        <v>15</v>
      </c>
      <c r="L25" s="5" t="s">
        <v>52</v>
      </c>
      <c r="M25" s="9" t="n">
        <v>0.00689014477045754</v>
      </c>
      <c r="P25" s="10" t="n">
        <v>24</v>
      </c>
    </row>
    <row r="26" customFormat="false" ht="13.8" hidden="false" customHeight="false" outlineLevel="0" collapsed="false">
      <c r="A26" s="12" t="n">
        <v>19</v>
      </c>
      <c r="B26" s="12" t="s">
        <v>45</v>
      </c>
      <c r="C26" s="13" t="n">
        <v>564</v>
      </c>
      <c r="D26" s="14"/>
      <c r="E26" s="14"/>
      <c r="F26" s="12" t="n">
        <v>52</v>
      </c>
      <c r="G26" s="19" t="s">
        <v>8</v>
      </c>
      <c r="H26" s="16" t="n">
        <v>66.6764199655766</v>
      </c>
      <c r="I26" s="14"/>
      <c r="J26" s="14"/>
      <c r="K26" s="12" t="n">
        <v>7</v>
      </c>
      <c r="L26" s="12" t="s">
        <v>53</v>
      </c>
      <c r="M26" s="17" t="n">
        <v>0.00690543674310745</v>
      </c>
      <c r="N26" s="14"/>
      <c r="O26" s="18" t="n">
        <v>25</v>
      </c>
      <c r="P26" s="10" t="n">
        <v>25</v>
      </c>
    </row>
    <row r="27" customFormat="false" ht="13.8" hidden="false" customHeight="false" outlineLevel="0" collapsed="false">
      <c r="A27" s="5" t="n">
        <v>20</v>
      </c>
      <c r="B27" s="5" t="s">
        <v>46</v>
      </c>
      <c r="C27" s="1" t="n">
        <v>564</v>
      </c>
      <c r="F27" s="5" t="n">
        <v>66</v>
      </c>
      <c r="G27" s="5" t="s">
        <v>54</v>
      </c>
      <c r="H27" s="7" t="n">
        <v>66.771897810219</v>
      </c>
      <c r="K27" s="5" t="n">
        <v>8</v>
      </c>
      <c r="L27" s="5" t="s">
        <v>55</v>
      </c>
      <c r="M27" s="9" t="n">
        <v>0.00692995337094572</v>
      </c>
      <c r="P27" s="10" t="n">
        <v>26</v>
      </c>
    </row>
    <row r="28" customFormat="false" ht="13.8" hidden="false" customHeight="false" outlineLevel="0" collapsed="false">
      <c r="A28" s="12" t="n">
        <v>1</v>
      </c>
      <c r="B28" s="12" t="s">
        <v>50</v>
      </c>
      <c r="C28" s="13" t="n">
        <v>563</v>
      </c>
      <c r="D28" s="14"/>
      <c r="E28" s="14"/>
      <c r="F28" s="12" t="n">
        <v>41</v>
      </c>
      <c r="G28" s="20" t="s">
        <v>14</v>
      </c>
      <c r="H28" s="16" t="n">
        <v>66.8287197231834</v>
      </c>
      <c r="I28" s="14"/>
      <c r="J28" s="14"/>
      <c r="K28" s="12" t="n">
        <v>54</v>
      </c>
      <c r="L28" s="12" t="s">
        <v>56</v>
      </c>
      <c r="M28" s="17" t="n">
        <v>0.0069464318235034</v>
      </c>
      <c r="N28" s="14"/>
      <c r="O28" s="18" t="n">
        <v>27</v>
      </c>
      <c r="P28" s="10" t="n">
        <v>27</v>
      </c>
    </row>
    <row r="29" customFormat="false" ht="13.8" hidden="false" customHeight="false" outlineLevel="0" collapsed="false">
      <c r="A29" s="5" t="n">
        <v>15</v>
      </c>
      <c r="B29" s="5" t="s">
        <v>52</v>
      </c>
      <c r="C29" s="1" t="n">
        <v>563</v>
      </c>
      <c r="F29" s="5" t="n">
        <v>53</v>
      </c>
      <c r="G29" s="5" t="s">
        <v>16</v>
      </c>
      <c r="H29" s="7" t="n">
        <v>66.9131944444444</v>
      </c>
      <c r="K29" s="5" t="n">
        <v>9</v>
      </c>
      <c r="L29" s="5" t="s">
        <v>57</v>
      </c>
      <c r="M29" s="9" t="n">
        <v>0.00698759765876802</v>
      </c>
      <c r="P29" s="10" t="n">
        <v>28</v>
      </c>
    </row>
    <row r="30" customFormat="false" ht="13.8" hidden="false" customHeight="false" outlineLevel="0" collapsed="false">
      <c r="A30" s="5" t="n">
        <v>54</v>
      </c>
      <c r="B30" s="5" t="s">
        <v>56</v>
      </c>
      <c r="C30" s="1" t="n">
        <v>563</v>
      </c>
      <c r="F30" s="5" t="n">
        <v>40</v>
      </c>
      <c r="G30" s="5" t="s">
        <v>12</v>
      </c>
      <c r="H30" s="7" t="n">
        <v>66.9241379310345</v>
      </c>
      <c r="K30" s="5" t="n">
        <v>10</v>
      </c>
      <c r="L30" s="5" t="s">
        <v>58</v>
      </c>
      <c r="M30" s="9" t="n">
        <v>0.00707681181879229</v>
      </c>
      <c r="P30" s="10" t="n">
        <v>29</v>
      </c>
    </row>
    <row r="31" customFormat="false" ht="13.8" hidden="false" customHeight="false" outlineLevel="0" collapsed="false">
      <c r="A31" s="5" t="n">
        <v>7</v>
      </c>
      <c r="B31" s="5" t="s">
        <v>53</v>
      </c>
      <c r="C31" s="1" t="n">
        <v>562</v>
      </c>
      <c r="F31" s="5" t="n">
        <v>28</v>
      </c>
      <c r="G31" s="5" t="s">
        <v>10</v>
      </c>
      <c r="H31" s="7" t="n">
        <v>66.9431034482759</v>
      </c>
      <c r="K31" s="5" t="n">
        <v>32</v>
      </c>
      <c r="L31" s="5" t="s">
        <v>59</v>
      </c>
      <c r="M31" s="9" t="n">
        <v>0.00708266556376984</v>
      </c>
      <c r="P31" s="10" t="n">
        <v>30</v>
      </c>
    </row>
    <row r="32" customFormat="false" ht="13.8" hidden="false" customHeight="false" outlineLevel="0" collapsed="false">
      <c r="A32" s="5" t="n">
        <v>8</v>
      </c>
      <c r="B32" s="5" t="s">
        <v>55</v>
      </c>
      <c r="C32" s="1" t="n">
        <v>561</v>
      </c>
      <c r="F32" s="5" t="n">
        <v>29</v>
      </c>
      <c r="G32" s="5" t="s">
        <v>18</v>
      </c>
      <c r="H32" s="7" t="n">
        <v>67.2765217391304</v>
      </c>
      <c r="K32" s="5" t="n">
        <v>21</v>
      </c>
      <c r="L32" s="5" t="s">
        <v>60</v>
      </c>
      <c r="M32" s="9" t="n">
        <v>0.00711053652230123</v>
      </c>
      <c r="P32" s="10" t="n">
        <v>31</v>
      </c>
    </row>
    <row r="33" customFormat="false" ht="13.8" hidden="false" customHeight="false" outlineLevel="0" collapsed="false">
      <c r="A33" s="5" t="n">
        <v>9</v>
      </c>
      <c r="B33" s="5" t="s">
        <v>57</v>
      </c>
      <c r="C33" s="1" t="n">
        <v>559</v>
      </c>
      <c r="F33" s="5" t="n">
        <v>113</v>
      </c>
      <c r="G33" s="5" t="s">
        <v>61</v>
      </c>
      <c r="H33" s="7" t="n">
        <v>67.7456647398844</v>
      </c>
      <c r="K33" s="5" t="n">
        <v>43</v>
      </c>
      <c r="L33" s="5" t="s">
        <v>62</v>
      </c>
      <c r="M33" s="9" t="n">
        <v>0.00711053652230123</v>
      </c>
      <c r="P33" s="10" t="n">
        <v>32</v>
      </c>
    </row>
    <row r="34" customFormat="false" ht="13.8" hidden="false" customHeight="false" outlineLevel="0" collapsed="false">
      <c r="A34" s="5" t="n">
        <v>87</v>
      </c>
      <c r="B34" s="5" t="s">
        <v>22</v>
      </c>
      <c r="C34" s="1" t="n">
        <v>559</v>
      </c>
      <c r="F34" s="5" t="n">
        <v>51</v>
      </c>
      <c r="G34" s="5" t="s">
        <v>39</v>
      </c>
      <c r="H34" s="7" t="n">
        <v>67.8010563380282</v>
      </c>
      <c r="K34" s="5" t="n">
        <v>65</v>
      </c>
      <c r="L34" s="5" t="s">
        <v>31</v>
      </c>
      <c r="M34" s="9" t="n">
        <v>0.00716186922042642</v>
      </c>
      <c r="P34" s="10" t="n">
        <v>33</v>
      </c>
    </row>
    <row r="35" customFormat="false" ht="13.8" hidden="false" customHeight="false" outlineLevel="0" collapsed="false">
      <c r="A35" s="5" t="n">
        <v>88</v>
      </c>
      <c r="B35" s="5" t="s">
        <v>24</v>
      </c>
      <c r="C35" s="1" t="n">
        <v>557</v>
      </c>
      <c r="F35" s="5" t="n">
        <v>17</v>
      </c>
      <c r="G35" s="5" t="s">
        <v>23</v>
      </c>
      <c r="H35" s="7" t="n">
        <v>67.8353765323993</v>
      </c>
      <c r="K35" s="5" t="n">
        <v>63</v>
      </c>
      <c r="L35" s="5" t="s">
        <v>47</v>
      </c>
      <c r="M35" s="9" t="n">
        <v>0.00725034199726402</v>
      </c>
      <c r="P35" s="10" t="n">
        <v>34</v>
      </c>
    </row>
    <row r="36" customFormat="false" ht="13.8" hidden="false" customHeight="false" outlineLevel="0" collapsed="false">
      <c r="A36" s="5" t="n">
        <v>10</v>
      </c>
      <c r="B36" s="5" t="s">
        <v>58</v>
      </c>
      <c r="C36" s="1" t="n">
        <v>556</v>
      </c>
      <c r="F36" s="5" t="n">
        <v>30</v>
      </c>
      <c r="G36" s="5" t="s">
        <v>28</v>
      </c>
      <c r="H36" s="7" t="n">
        <v>67.8614035087719</v>
      </c>
      <c r="K36" s="5" t="n">
        <v>2</v>
      </c>
      <c r="L36" s="5" t="s">
        <v>63</v>
      </c>
      <c r="M36" s="9" t="n">
        <v>0.00732163256828331</v>
      </c>
      <c r="P36" s="10" t="n">
        <v>35</v>
      </c>
    </row>
    <row r="37" customFormat="false" ht="13.8" hidden="false" customHeight="false" outlineLevel="0" collapsed="false">
      <c r="A37" s="5" t="n">
        <v>32</v>
      </c>
      <c r="B37" s="5" t="s">
        <v>59</v>
      </c>
      <c r="C37" s="1" t="n">
        <v>556</v>
      </c>
      <c r="F37" s="5" t="n">
        <v>39</v>
      </c>
      <c r="G37" s="5" t="s">
        <v>34</v>
      </c>
      <c r="H37" s="7" t="n">
        <v>67.9612676056338</v>
      </c>
      <c r="K37" s="5" t="n">
        <v>11</v>
      </c>
      <c r="L37" s="5" t="s">
        <v>64</v>
      </c>
      <c r="M37" s="9" t="n">
        <v>0.00734206771306265</v>
      </c>
      <c r="P37" s="10" t="n">
        <v>36</v>
      </c>
    </row>
    <row r="38" customFormat="false" ht="13.8" hidden="false" customHeight="false" outlineLevel="0" collapsed="false">
      <c r="A38" s="5" t="n">
        <v>21</v>
      </c>
      <c r="B38" s="5" t="s">
        <v>60</v>
      </c>
      <c r="C38" s="1" t="n">
        <v>555</v>
      </c>
      <c r="F38" s="5" t="n">
        <v>16</v>
      </c>
      <c r="G38" s="5" t="s">
        <v>20</v>
      </c>
      <c r="H38" s="7" t="n">
        <v>67.9615384615385</v>
      </c>
      <c r="K38" s="5" t="n">
        <v>22</v>
      </c>
      <c r="L38" s="5" t="s">
        <v>65</v>
      </c>
      <c r="M38" s="9" t="n">
        <v>0.00756409922011529</v>
      </c>
      <c r="P38" s="10" t="n">
        <v>37</v>
      </c>
    </row>
    <row r="39" customFormat="false" ht="13.8" hidden="false" customHeight="false" outlineLevel="0" collapsed="false">
      <c r="A39" s="5" t="n">
        <v>43</v>
      </c>
      <c r="B39" s="5" t="s">
        <v>62</v>
      </c>
      <c r="C39" s="1" t="n">
        <v>555</v>
      </c>
      <c r="F39" s="5" t="n">
        <v>5</v>
      </c>
      <c r="G39" s="5" t="s">
        <v>25</v>
      </c>
      <c r="H39" s="7" t="n">
        <v>68.0894736842105</v>
      </c>
      <c r="K39" s="5" t="n">
        <v>33</v>
      </c>
      <c r="L39" s="5" t="s">
        <v>66</v>
      </c>
      <c r="M39" s="9" t="n">
        <v>0.00759890325107716</v>
      </c>
      <c r="P39" s="10" t="n">
        <v>38</v>
      </c>
    </row>
    <row r="40" customFormat="false" ht="13.8" hidden="false" customHeight="false" outlineLevel="0" collapsed="false">
      <c r="A40" s="5" t="n">
        <v>77</v>
      </c>
      <c r="B40" s="5" t="s">
        <v>40</v>
      </c>
      <c r="C40" s="1" t="n">
        <v>554</v>
      </c>
      <c r="F40" s="5" t="n">
        <v>42</v>
      </c>
      <c r="G40" s="5" t="s">
        <v>42</v>
      </c>
      <c r="H40" s="7" t="n">
        <v>68.1604938271605</v>
      </c>
      <c r="K40" s="5" t="n">
        <v>76</v>
      </c>
      <c r="L40" s="5" t="s">
        <v>21</v>
      </c>
      <c r="M40" s="9" t="n">
        <v>0.00761655410431109</v>
      </c>
      <c r="P40" s="10" t="n">
        <v>39</v>
      </c>
    </row>
    <row r="41" customFormat="false" ht="13.8" hidden="false" customHeight="false" outlineLevel="0" collapsed="false">
      <c r="A41" s="5" t="n">
        <v>2</v>
      </c>
      <c r="B41" s="5" t="s">
        <v>63</v>
      </c>
      <c r="C41" s="1" t="n">
        <v>548</v>
      </c>
      <c r="F41" s="5" t="n">
        <v>27</v>
      </c>
      <c r="G41" s="5" t="s">
        <v>38</v>
      </c>
      <c r="H41" s="7" t="n">
        <v>68.2451499118166</v>
      </c>
      <c r="K41" s="5" t="n">
        <v>44</v>
      </c>
      <c r="L41" s="5" t="s">
        <v>67</v>
      </c>
      <c r="M41" s="9" t="n">
        <v>0.00762123505768127</v>
      </c>
      <c r="P41" s="10" t="n">
        <v>40</v>
      </c>
    </row>
    <row r="42" customFormat="false" ht="13.8" hidden="false" customHeight="false" outlineLevel="0" collapsed="false">
      <c r="A42" s="5" t="n">
        <v>66</v>
      </c>
      <c r="B42" s="5" t="s">
        <v>54</v>
      </c>
      <c r="C42" s="1" t="n">
        <v>548</v>
      </c>
      <c r="F42" s="5" t="n">
        <v>54</v>
      </c>
      <c r="G42" s="5" t="s">
        <v>56</v>
      </c>
      <c r="H42" s="7" t="n">
        <v>68.2717584369449</v>
      </c>
      <c r="K42" s="5" t="n">
        <v>55</v>
      </c>
      <c r="L42" s="5" t="s">
        <v>68</v>
      </c>
      <c r="M42" s="9" t="n">
        <v>0.00762820345359074</v>
      </c>
      <c r="P42" s="10" t="n">
        <v>41</v>
      </c>
    </row>
    <row r="43" customFormat="false" ht="13.8" hidden="false" customHeight="false" outlineLevel="0" collapsed="false">
      <c r="A43" s="5" t="n">
        <v>11</v>
      </c>
      <c r="B43" s="5" t="s">
        <v>64</v>
      </c>
      <c r="C43" s="1" t="n">
        <v>547</v>
      </c>
      <c r="F43" s="5" t="n">
        <v>6</v>
      </c>
      <c r="G43" s="5" t="s">
        <v>32</v>
      </c>
      <c r="H43" s="7" t="n">
        <v>68.2764084507042</v>
      </c>
      <c r="K43" s="5" t="n">
        <v>66</v>
      </c>
      <c r="L43" s="5" t="s">
        <v>54</v>
      </c>
      <c r="M43" s="9" t="n">
        <v>0.00770681315077478</v>
      </c>
      <c r="P43" s="10" t="n">
        <v>42</v>
      </c>
    </row>
    <row r="44" customFormat="false" ht="13.8" hidden="false" customHeight="false" outlineLevel="0" collapsed="false">
      <c r="A44" s="5" t="n">
        <v>99</v>
      </c>
      <c r="B44" s="5" t="s">
        <v>15</v>
      </c>
      <c r="C44" s="1" t="n">
        <v>545</v>
      </c>
      <c r="F44" s="5" t="n">
        <v>18</v>
      </c>
      <c r="G44" s="5" t="s">
        <v>36</v>
      </c>
      <c r="H44" s="7" t="n">
        <v>68.3033509700176</v>
      </c>
      <c r="K44" s="5" t="n">
        <v>14</v>
      </c>
      <c r="L44" s="5" t="s">
        <v>69</v>
      </c>
      <c r="M44" s="9" t="n">
        <v>0.00772615368498245</v>
      </c>
      <c r="P44" s="10" t="n">
        <v>43</v>
      </c>
    </row>
    <row r="45" customFormat="false" ht="13.8" hidden="false" customHeight="false" outlineLevel="0" collapsed="false">
      <c r="A45" s="5" t="n">
        <v>22</v>
      </c>
      <c r="B45" s="5" t="s">
        <v>65</v>
      </c>
      <c r="C45" s="1" t="n">
        <v>540</v>
      </c>
      <c r="F45" s="5" t="n">
        <v>4</v>
      </c>
      <c r="G45" s="5" t="s">
        <v>30</v>
      </c>
      <c r="H45" s="7" t="n">
        <v>68.387323943662</v>
      </c>
      <c r="K45" s="5" t="n">
        <v>12</v>
      </c>
      <c r="L45" s="5" t="s">
        <v>70</v>
      </c>
      <c r="M45" s="9" t="n">
        <v>0.0078612232063309</v>
      </c>
      <c r="P45" s="10" t="n">
        <v>44</v>
      </c>
    </row>
    <row r="46" customFormat="false" ht="13.8" hidden="false" customHeight="false" outlineLevel="0" collapsed="false">
      <c r="A46" s="5" t="n">
        <v>33</v>
      </c>
      <c r="B46" s="5" t="s">
        <v>66</v>
      </c>
      <c r="C46" s="1" t="n">
        <v>539</v>
      </c>
      <c r="F46" s="5" t="n">
        <v>31</v>
      </c>
      <c r="G46" s="5" t="s">
        <v>43</v>
      </c>
      <c r="H46" s="7" t="n">
        <v>68.6265486725664</v>
      </c>
      <c r="K46" s="5" t="n">
        <v>13</v>
      </c>
      <c r="L46" s="5" t="s">
        <v>71</v>
      </c>
      <c r="M46" s="9" t="n">
        <v>0.00786843968840979</v>
      </c>
      <c r="P46" s="10" t="n">
        <v>45</v>
      </c>
    </row>
    <row r="47" customFormat="false" ht="13.8" hidden="false" customHeight="false" outlineLevel="0" collapsed="false">
      <c r="A47" s="5" t="n">
        <v>44</v>
      </c>
      <c r="B47" s="5" t="s">
        <v>67</v>
      </c>
      <c r="C47" s="1" t="n">
        <v>538</v>
      </c>
      <c r="F47" s="5" t="n">
        <v>3</v>
      </c>
      <c r="G47" s="5" t="s">
        <v>48</v>
      </c>
      <c r="H47" s="7" t="n">
        <v>68.7375886524823</v>
      </c>
      <c r="K47" s="5" t="n">
        <v>75</v>
      </c>
      <c r="L47" s="5" t="s">
        <v>35</v>
      </c>
      <c r="M47" s="9" t="n">
        <v>0.00790903121828926</v>
      </c>
      <c r="P47" s="10" t="n">
        <v>46</v>
      </c>
    </row>
    <row r="48" customFormat="false" ht="13.8" hidden="false" customHeight="false" outlineLevel="0" collapsed="false">
      <c r="A48" s="5" t="n">
        <v>55</v>
      </c>
      <c r="B48" s="5" t="s">
        <v>68</v>
      </c>
      <c r="C48" s="1" t="n">
        <v>538</v>
      </c>
      <c r="F48" s="5" t="n">
        <v>20</v>
      </c>
      <c r="G48" s="5" t="s">
        <v>46</v>
      </c>
      <c r="H48" s="7" t="n">
        <v>68.7712765957447</v>
      </c>
      <c r="K48" s="5" t="n">
        <v>26</v>
      </c>
      <c r="L48" s="5" t="s">
        <v>72</v>
      </c>
      <c r="M48" s="9" t="n">
        <v>0.00811310782241015</v>
      </c>
      <c r="P48" s="10" t="n">
        <v>47</v>
      </c>
    </row>
    <row r="49" customFormat="false" ht="13.8" hidden="false" customHeight="false" outlineLevel="0" collapsed="false">
      <c r="A49" s="5" t="n">
        <v>14</v>
      </c>
      <c r="B49" s="5" t="s">
        <v>69</v>
      </c>
      <c r="C49" s="1" t="n">
        <v>535</v>
      </c>
      <c r="F49" s="5" t="n">
        <v>19</v>
      </c>
      <c r="G49" s="5" t="s">
        <v>45</v>
      </c>
      <c r="H49" s="7" t="n">
        <v>68.8262411347518</v>
      </c>
      <c r="K49" s="5" t="n">
        <v>77</v>
      </c>
      <c r="L49" s="5" t="s">
        <v>40</v>
      </c>
      <c r="M49" s="9" t="n">
        <v>0.00823413586324174</v>
      </c>
      <c r="P49" s="10" t="n">
        <v>48</v>
      </c>
    </row>
    <row r="50" customFormat="false" ht="13.8" hidden="false" customHeight="false" outlineLevel="0" collapsed="false">
      <c r="A50" s="5" t="n">
        <v>12</v>
      </c>
      <c r="B50" s="5" t="s">
        <v>70</v>
      </c>
      <c r="C50" s="1" t="n">
        <v>530</v>
      </c>
      <c r="F50" s="5" t="n">
        <v>15</v>
      </c>
      <c r="G50" s="5" t="s">
        <v>52</v>
      </c>
      <c r="H50" s="7" t="n">
        <v>68.8294849023091</v>
      </c>
      <c r="K50" s="5" t="n">
        <v>38</v>
      </c>
      <c r="L50" s="5" t="s">
        <v>73</v>
      </c>
      <c r="M50" s="9" t="n">
        <v>0.00842397099594796</v>
      </c>
      <c r="P50" s="10" t="n">
        <v>49</v>
      </c>
    </row>
    <row r="51" customFormat="false" ht="13.8" hidden="false" customHeight="false" outlineLevel="0" collapsed="false">
      <c r="A51" s="5" t="n">
        <v>13</v>
      </c>
      <c r="B51" s="5" t="s">
        <v>71</v>
      </c>
      <c r="C51" s="1" t="n">
        <v>530</v>
      </c>
      <c r="F51" s="5" t="n">
        <v>1</v>
      </c>
      <c r="G51" s="5" t="s">
        <v>50</v>
      </c>
      <c r="H51" s="7" t="n">
        <v>68.9520426287744</v>
      </c>
      <c r="K51" s="5" t="n">
        <v>23</v>
      </c>
      <c r="L51" s="5" t="s">
        <v>74</v>
      </c>
      <c r="M51" s="9" t="n">
        <v>0.00875628775982754</v>
      </c>
      <c r="P51" s="10" t="n">
        <v>50</v>
      </c>
    </row>
    <row r="52" customFormat="false" ht="13.8" hidden="false" customHeight="false" outlineLevel="0" collapsed="false">
      <c r="A52" s="5" t="n">
        <v>26</v>
      </c>
      <c r="B52" s="5" t="s">
        <v>72</v>
      </c>
      <c r="C52" s="1" t="n">
        <v>523</v>
      </c>
      <c r="F52" s="5" t="n">
        <v>7</v>
      </c>
      <c r="G52" s="5" t="s">
        <v>53</v>
      </c>
      <c r="H52" s="7" t="n">
        <v>69.0569395017794</v>
      </c>
      <c r="K52" s="5" t="n">
        <v>50</v>
      </c>
      <c r="L52" s="5" t="s">
        <v>75</v>
      </c>
      <c r="M52" s="9" t="n">
        <v>0.00886720750343638</v>
      </c>
      <c r="P52" s="10" t="n">
        <v>51</v>
      </c>
    </row>
    <row r="53" customFormat="false" ht="13.8" hidden="false" customHeight="false" outlineLevel="0" collapsed="false">
      <c r="A53" s="5" t="n">
        <v>100</v>
      </c>
      <c r="B53" s="5" t="s">
        <v>17</v>
      </c>
      <c r="C53" s="1" t="n">
        <v>515</v>
      </c>
      <c r="F53" s="5" t="n">
        <v>8</v>
      </c>
      <c r="G53" s="5" t="s">
        <v>55</v>
      </c>
      <c r="H53" s="7" t="n">
        <v>69.192513368984</v>
      </c>
      <c r="K53" s="5" t="n">
        <v>88</v>
      </c>
      <c r="L53" s="5" t="s">
        <v>24</v>
      </c>
      <c r="M53" s="9" t="n">
        <v>0.0089064335116795</v>
      </c>
      <c r="P53" s="10" t="n">
        <v>52</v>
      </c>
    </row>
    <row r="54" customFormat="false" ht="13.8" hidden="false" customHeight="false" outlineLevel="0" collapsed="false">
      <c r="A54" s="5" t="n">
        <v>38</v>
      </c>
      <c r="B54" s="5" t="s">
        <v>73</v>
      </c>
      <c r="C54" s="1" t="n">
        <v>514</v>
      </c>
      <c r="F54" s="5" t="n">
        <v>9</v>
      </c>
      <c r="G54" s="5" t="s">
        <v>57</v>
      </c>
      <c r="H54" s="7" t="n">
        <v>69.3792486583184</v>
      </c>
      <c r="K54" s="5" t="n">
        <v>87</v>
      </c>
      <c r="L54" s="5" t="s">
        <v>22</v>
      </c>
      <c r="M54" s="9" t="n">
        <v>0.00894832425293049</v>
      </c>
      <c r="P54" s="10" t="n">
        <v>53</v>
      </c>
    </row>
    <row r="55" customFormat="false" ht="13.8" hidden="false" customHeight="false" outlineLevel="0" collapsed="false">
      <c r="A55" s="5" t="n">
        <v>89</v>
      </c>
      <c r="B55" s="5" t="s">
        <v>33</v>
      </c>
      <c r="C55" s="1" t="n">
        <v>508</v>
      </c>
      <c r="F55" s="5" t="n">
        <v>32</v>
      </c>
      <c r="G55" s="5" t="s">
        <v>59</v>
      </c>
      <c r="H55" s="7" t="n">
        <v>69.5791366906475</v>
      </c>
      <c r="K55" s="5" t="n">
        <v>56</v>
      </c>
      <c r="L55" s="5" t="s">
        <v>76</v>
      </c>
      <c r="M55" s="9" t="n">
        <v>0.00920015020653399</v>
      </c>
      <c r="P55" s="10" t="n">
        <v>54</v>
      </c>
    </row>
    <row r="56" customFormat="false" ht="13.8" hidden="false" customHeight="false" outlineLevel="0" collapsed="false">
      <c r="A56" s="5" t="n">
        <v>23</v>
      </c>
      <c r="B56" s="5" t="s">
        <v>74</v>
      </c>
      <c r="C56" s="1" t="n">
        <v>501</v>
      </c>
      <c r="F56" s="5" t="n">
        <v>10</v>
      </c>
      <c r="G56" s="5" t="s">
        <v>58</v>
      </c>
      <c r="H56" s="7" t="n">
        <v>69.636690647482</v>
      </c>
      <c r="K56" s="5" t="n">
        <v>34</v>
      </c>
      <c r="L56" s="5" t="s">
        <v>77</v>
      </c>
      <c r="M56" s="9" t="n">
        <v>0.00931118684090482</v>
      </c>
      <c r="P56" s="10" t="n">
        <v>55</v>
      </c>
    </row>
    <row r="57" customFormat="false" ht="13.8" hidden="false" customHeight="false" outlineLevel="0" collapsed="false">
      <c r="A57" s="5" t="n">
        <v>50</v>
      </c>
      <c r="B57" s="5" t="s">
        <v>75</v>
      </c>
      <c r="C57" s="1" t="n">
        <v>501</v>
      </c>
      <c r="F57" s="5" t="n">
        <v>21</v>
      </c>
      <c r="G57" s="5" t="s">
        <v>60</v>
      </c>
      <c r="H57" s="7" t="n">
        <v>69.6846846846847</v>
      </c>
      <c r="K57" s="5" t="n">
        <v>45</v>
      </c>
      <c r="L57" s="5" t="s">
        <v>78</v>
      </c>
      <c r="M57" s="9" t="n">
        <v>0.00931293612453033</v>
      </c>
      <c r="P57" s="10" t="n">
        <v>56</v>
      </c>
    </row>
    <row r="58" customFormat="false" ht="13.8" hidden="false" customHeight="false" outlineLevel="0" collapsed="false">
      <c r="A58" s="5" t="n">
        <v>78</v>
      </c>
      <c r="B58" s="5" t="s">
        <v>51</v>
      </c>
      <c r="C58" s="1" t="n">
        <v>501</v>
      </c>
      <c r="F58" s="5" t="n">
        <v>43</v>
      </c>
      <c r="G58" s="5" t="s">
        <v>62</v>
      </c>
      <c r="H58" s="7" t="n">
        <v>69.6846846846847</v>
      </c>
      <c r="K58" s="5" t="n">
        <v>25</v>
      </c>
      <c r="L58" s="5" t="s">
        <v>79</v>
      </c>
      <c r="M58" s="9" t="n">
        <v>0.00932494894120176</v>
      </c>
      <c r="P58" s="10" t="n">
        <v>57</v>
      </c>
    </row>
    <row r="59" customFormat="false" ht="13.8" hidden="false" customHeight="false" outlineLevel="0" collapsed="false">
      <c r="A59" s="5" t="n">
        <v>111</v>
      </c>
      <c r="B59" s="5" t="s">
        <v>9</v>
      </c>
      <c r="C59" s="1" t="n">
        <v>493</v>
      </c>
      <c r="F59" s="5" t="n">
        <v>2</v>
      </c>
      <c r="G59" s="5" t="s">
        <v>63</v>
      </c>
      <c r="H59" s="7" t="n">
        <v>70.2846715328467</v>
      </c>
      <c r="K59" s="5" t="n">
        <v>67</v>
      </c>
      <c r="L59" s="5" t="s">
        <v>80</v>
      </c>
      <c r="M59" s="9" t="n">
        <v>0.00936962909574763</v>
      </c>
      <c r="P59" s="10" t="n">
        <v>58</v>
      </c>
    </row>
    <row r="60" customFormat="false" ht="13.8" hidden="false" customHeight="false" outlineLevel="0" collapsed="false">
      <c r="A60" s="5" t="n">
        <v>67</v>
      </c>
      <c r="B60" s="5" t="s">
        <v>80</v>
      </c>
      <c r="C60" s="1" t="n">
        <v>492</v>
      </c>
      <c r="F60" s="5" t="n">
        <v>90</v>
      </c>
      <c r="G60" s="5" t="s">
        <v>81</v>
      </c>
      <c r="H60" s="7" t="n">
        <v>70.3207547169811</v>
      </c>
      <c r="K60" s="5" t="n">
        <v>62</v>
      </c>
      <c r="L60" s="5" t="s">
        <v>82</v>
      </c>
      <c r="M60" s="9" t="n">
        <v>0.00969987447221271</v>
      </c>
      <c r="P60" s="10" t="n">
        <v>59</v>
      </c>
    </row>
    <row r="61" customFormat="false" ht="13.8" hidden="false" customHeight="false" outlineLevel="0" collapsed="false">
      <c r="A61" s="5" t="n">
        <v>62</v>
      </c>
      <c r="B61" s="5" t="s">
        <v>82</v>
      </c>
      <c r="C61" s="1" t="n">
        <v>490</v>
      </c>
      <c r="F61" s="5" t="n">
        <v>11</v>
      </c>
      <c r="G61" s="5" t="s">
        <v>64</v>
      </c>
      <c r="H61" s="7" t="n">
        <v>70.4661791590494</v>
      </c>
      <c r="K61" s="5" t="n">
        <v>24</v>
      </c>
      <c r="L61" s="5" t="s">
        <v>83</v>
      </c>
      <c r="M61" s="9" t="n">
        <v>0.00978319783197832</v>
      </c>
      <c r="P61" s="10" t="n">
        <v>60</v>
      </c>
    </row>
    <row r="62" customFormat="false" ht="13.8" hidden="false" customHeight="false" outlineLevel="0" collapsed="false">
      <c r="A62" s="5" t="n">
        <v>56</v>
      </c>
      <c r="B62" s="5" t="s">
        <v>76</v>
      </c>
      <c r="C62" s="1" t="n">
        <v>487</v>
      </c>
      <c r="F62" s="5" t="n">
        <v>22</v>
      </c>
      <c r="G62" s="5" t="s">
        <v>65</v>
      </c>
      <c r="H62" s="7" t="n">
        <v>70.9981481481482</v>
      </c>
      <c r="K62" s="5" t="n">
        <v>78</v>
      </c>
      <c r="L62" s="5" t="s">
        <v>51</v>
      </c>
      <c r="M62" s="9" t="n">
        <v>0.00990397061922394</v>
      </c>
      <c r="P62" s="10" t="n">
        <v>61</v>
      </c>
    </row>
    <row r="63" customFormat="false" ht="13.8" hidden="false" customHeight="false" outlineLevel="0" collapsed="false">
      <c r="A63" s="5" t="n">
        <v>74</v>
      </c>
      <c r="B63" s="5" t="s">
        <v>49</v>
      </c>
      <c r="C63" s="1" t="n">
        <v>487</v>
      </c>
      <c r="F63" s="5" t="n">
        <v>33</v>
      </c>
      <c r="G63" s="5" t="s">
        <v>66</v>
      </c>
      <c r="H63" s="7" t="n">
        <v>71.0482374768089</v>
      </c>
      <c r="K63" s="5" t="n">
        <v>99</v>
      </c>
      <c r="L63" s="5" t="s">
        <v>15</v>
      </c>
      <c r="M63" s="9" t="n">
        <v>0.0104208563384402</v>
      </c>
      <c r="P63" s="10" t="n">
        <v>62</v>
      </c>
    </row>
    <row r="64" customFormat="false" ht="13.8" hidden="false" customHeight="false" outlineLevel="0" collapsed="false">
      <c r="A64" s="5" t="n">
        <v>86</v>
      </c>
      <c r="B64" s="5" t="s">
        <v>37</v>
      </c>
      <c r="C64" s="1" t="n">
        <v>486</v>
      </c>
      <c r="F64" s="5" t="n">
        <v>55</v>
      </c>
      <c r="G64" s="5" t="s">
        <v>68</v>
      </c>
      <c r="H64" s="7" t="n">
        <v>71.1505576208179</v>
      </c>
      <c r="K64" s="5" t="n">
        <v>89</v>
      </c>
      <c r="L64" s="5" t="s">
        <v>33</v>
      </c>
      <c r="M64" s="9" t="n">
        <v>0.0106923460069733</v>
      </c>
      <c r="P64" s="10" t="n">
        <v>63</v>
      </c>
    </row>
    <row r="65" customFormat="false" ht="13.8" hidden="false" customHeight="false" outlineLevel="0" collapsed="false">
      <c r="A65" s="5" t="n">
        <v>25</v>
      </c>
      <c r="B65" s="5" t="s">
        <v>79</v>
      </c>
      <c r="C65" s="1" t="n">
        <v>483</v>
      </c>
      <c r="F65" s="5" t="n">
        <v>44</v>
      </c>
      <c r="G65" s="5" t="s">
        <v>67</v>
      </c>
      <c r="H65" s="7" t="n">
        <v>71.2156133828996</v>
      </c>
      <c r="K65" s="5" t="n">
        <v>74</v>
      </c>
      <c r="L65" s="5" t="s">
        <v>49</v>
      </c>
      <c r="M65" s="9" t="n">
        <v>0.0107231062619189</v>
      </c>
      <c r="P65" s="10" t="n">
        <v>64</v>
      </c>
    </row>
    <row r="66" customFormat="false" ht="13.8" hidden="false" customHeight="false" outlineLevel="0" collapsed="false">
      <c r="A66" s="5" t="n">
        <v>34</v>
      </c>
      <c r="B66" s="5" t="s">
        <v>77</v>
      </c>
      <c r="C66" s="1" t="n">
        <v>483</v>
      </c>
      <c r="F66" s="5" t="n">
        <v>14</v>
      </c>
      <c r="G66" s="5" t="s">
        <v>69</v>
      </c>
      <c r="H66" s="7" t="n">
        <v>71.3682242990654</v>
      </c>
      <c r="K66" s="5" t="n">
        <v>37</v>
      </c>
      <c r="L66" s="5" t="s">
        <v>84</v>
      </c>
      <c r="M66" s="9" t="n">
        <v>0.0107761598187395</v>
      </c>
      <c r="P66" s="10" t="n">
        <v>65</v>
      </c>
    </row>
    <row r="67" customFormat="false" ht="13.8" hidden="false" customHeight="false" outlineLevel="0" collapsed="false">
      <c r="A67" s="5" t="n">
        <v>45</v>
      </c>
      <c r="B67" s="5" t="s">
        <v>78</v>
      </c>
      <c r="C67" s="1" t="n">
        <v>483</v>
      </c>
      <c r="F67" s="5" t="n">
        <v>62</v>
      </c>
      <c r="G67" s="5" t="s">
        <v>82</v>
      </c>
      <c r="H67" s="7" t="n">
        <v>71.534693877551</v>
      </c>
      <c r="K67" s="5" t="n">
        <v>35</v>
      </c>
      <c r="L67" s="5" t="s">
        <v>85</v>
      </c>
      <c r="M67" s="9" t="n">
        <v>0.0112275449101796</v>
      </c>
      <c r="P67" s="10" t="n">
        <v>66</v>
      </c>
    </row>
    <row r="68" customFormat="false" ht="13.8" hidden="false" customHeight="false" outlineLevel="0" collapsed="false">
      <c r="A68" s="5" t="n">
        <v>98</v>
      </c>
      <c r="B68" s="5" t="s">
        <v>19</v>
      </c>
      <c r="C68" s="1" t="n">
        <v>481</v>
      </c>
      <c r="F68" s="5" t="n">
        <v>13</v>
      </c>
      <c r="G68" s="5" t="s">
        <v>71</v>
      </c>
      <c r="H68" s="7" t="n">
        <v>71.9377358490566</v>
      </c>
      <c r="K68" s="5" t="n">
        <v>100</v>
      </c>
      <c r="L68" s="5" t="s">
        <v>17</v>
      </c>
      <c r="M68" s="9" t="n">
        <v>0.0115532734274711</v>
      </c>
      <c r="P68" s="10" t="n">
        <v>67</v>
      </c>
    </row>
    <row r="69" customFormat="false" ht="13.8" hidden="false" customHeight="false" outlineLevel="0" collapsed="false">
      <c r="A69" s="5" t="n">
        <v>24</v>
      </c>
      <c r="B69" s="5" t="s">
        <v>83</v>
      </c>
      <c r="C69" s="1" t="n">
        <v>469</v>
      </c>
      <c r="F69" s="5" t="n">
        <v>12</v>
      </c>
      <c r="G69" s="5" t="s">
        <v>70</v>
      </c>
      <c r="H69" s="7" t="n">
        <v>72.0037735849057</v>
      </c>
      <c r="K69" s="5" t="n">
        <v>57</v>
      </c>
      <c r="L69" s="5" t="s">
        <v>86</v>
      </c>
      <c r="M69" s="9" t="n">
        <v>0.0118530557345812</v>
      </c>
      <c r="P69" s="10" t="n">
        <v>68</v>
      </c>
    </row>
    <row r="70" customFormat="false" ht="13.8" hidden="false" customHeight="false" outlineLevel="0" collapsed="false">
      <c r="A70" s="5" t="n">
        <v>110</v>
      </c>
      <c r="B70" s="5" t="s">
        <v>13</v>
      </c>
      <c r="C70" s="1" t="n">
        <v>458</v>
      </c>
      <c r="F70" s="5" t="n">
        <v>109</v>
      </c>
      <c r="G70" s="5" t="s">
        <v>87</v>
      </c>
      <c r="H70" s="7" t="n">
        <v>72.0191082802548</v>
      </c>
      <c r="K70" s="5" t="n">
        <v>86</v>
      </c>
      <c r="L70" s="5" t="s">
        <v>37</v>
      </c>
      <c r="M70" s="9" t="n">
        <v>0.0119002317777701</v>
      </c>
      <c r="P70" s="10" t="n">
        <v>69</v>
      </c>
    </row>
    <row r="71" customFormat="false" ht="13.8" hidden="false" customHeight="false" outlineLevel="0" collapsed="false">
      <c r="A71" s="5" t="n">
        <v>37</v>
      </c>
      <c r="B71" s="5" t="s">
        <v>84</v>
      </c>
      <c r="C71" s="1" t="n">
        <v>440</v>
      </c>
      <c r="F71" s="5" t="n">
        <v>26</v>
      </c>
      <c r="G71" s="5" t="s">
        <v>72</v>
      </c>
      <c r="H71" s="7" t="n">
        <v>72.3518164435946</v>
      </c>
      <c r="K71" s="5" t="n">
        <v>46</v>
      </c>
      <c r="L71" s="5" t="s">
        <v>88</v>
      </c>
      <c r="M71" s="9" t="n">
        <v>0.011957769749923</v>
      </c>
      <c r="P71" s="10" t="n">
        <v>70</v>
      </c>
    </row>
    <row r="72" customFormat="false" ht="13.8" hidden="false" customHeight="false" outlineLevel="0" collapsed="false">
      <c r="A72" s="5" t="n">
        <v>101</v>
      </c>
      <c r="B72" s="5" t="s">
        <v>41</v>
      </c>
      <c r="C72" s="1" t="n">
        <v>433</v>
      </c>
      <c r="F72" s="5" t="n">
        <v>38</v>
      </c>
      <c r="G72" s="5" t="s">
        <v>73</v>
      </c>
      <c r="H72" s="7" t="n">
        <v>72.9805447470817</v>
      </c>
      <c r="K72" s="5" t="n">
        <v>36</v>
      </c>
      <c r="L72" s="5" t="s">
        <v>89</v>
      </c>
      <c r="M72" s="9" t="n">
        <v>0.0119728427754458</v>
      </c>
      <c r="P72" s="10" t="n">
        <v>71</v>
      </c>
    </row>
    <row r="73" customFormat="false" ht="13.8" hidden="false" customHeight="false" outlineLevel="0" collapsed="false">
      <c r="A73" s="5" t="n">
        <v>112</v>
      </c>
      <c r="B73" s="5" t="s">
        <v>26</v>
      </c>
      <c r="C73" s="1" t="n">
        <v>432</v>
      </c>
      <c r="F73" s="5" t="n">
        <v>67</v>
      </c>
      <c r="G73" s="5" t="s">
        <v>80</v>
      </c>
      <c r="H73" s="7" t="n">
        <v>73.3211382113821</v>
      </c>
      <c r="K73" s="5" t="n">
        <v>68</v>
      </c>
      <c r="L73" s="5" t="s">
        <v>90</v>
      </c>
      <c r="M73" s="9" t="n">
        <v>0.0121054907047125</v>
      </c>
      <c r="P73" s="10" t="n">
        <v>72</v>
      </c>
    </row>
    <row r="74" customFormat="false" ht="13.8" hidden="false" customHeight="false" outlineLevel="0" collapsed="false">
      <c r="A74" s="5" t="n">
        <v>35</v>
      </c>
      <c r="B74" s="5" t="s">
        <v>85</v>
      </c>
      <c r="C74" s="1" t="n">
        <v>425</v>
      </c>
      <c r="F74" s="5" t="n">
        <v>50</v>
      </c>
      <c r="G74" s="5" t="s">
        <v>75</v>
      </c>
      <c r="H74" s="7" t="n">
        <v>74.0578842315369</v>
      </c>
      <c r="K74" s="5" t="n">
        <v>49</v>
      </c>
      <c r="L74" s="5" t="s">
        <v>91</v>
      </c>
      <c r="M74" s="9" t="n">
        <v>0.0121605533193492</v>
      </c>
      <c r="P74" s="10" t="n">
        <v>73</v>
      </c>
    </row>
    <row r="75" customFormat="false" ht="13.8" hidden="false" customHeight="false" outlineLevel="0" collapsed="false">
      <c r="A75" s="5" t="n">
        <v>90</v>
      </c>
      <c r="B75" s="5" t="s">
        <v>81</v>
      </c>
      <c r="C75" s="1" t="n">
        <v>424</v>
      </c>
      <c r="F75" s="5" t="n">
        <v>23</v>
      </c>
      <c r="G75" s="5" t="s">
        <v>74</v>
      </c>
      <c r="H75" s="7" t="n">
        <v>74.9960079840319</v>
      </c>
      <c r="K75" s="5" t="n">
        <v>79</v>
      </c>
      <c r="L75" s="5" t="s">
        <v>92</v>
      </c>
      <c r="M75" s="9" t="n">
        <v>0.0126311282380647</v>
      </c>
      <c r="P75" s="10" t="n">
        <v>74</v>
      </c>
    </row>
    <row r="76" customFormat="false" ht="13.8" hidden="false" customHeight="false" outlineLevel="0" collapsed="false">
      <c r="A76" s="5" t="n">
        <v>123</v>
      </c>
      <c r="B76" s="5" t="s">
        <v>11</v>
      </c>
      <c r="C76" s="1" t="n">
        <v>421</v>
      </c>
      <c r="F76" s="5" t="n">
        <v>125</v>
      </c>
      <c r="G76" s="5" t="s">
        <v>93</v>
      </c>
      <c r="H76" s="7" t="n">
        <v>75.5681818181818</v>
      </c>
      <c r="K76" s="5" t="n">
        <v>98</v>
      </c>
      <c r="L76" s="5" t="s">
        <v>19</v>
      </c>
      <c r="M76" s="9" t="n">
        <v>0.0135850525496302</v>
      </c>
      <c r="P76" s="10" t="n">
        <v>75</v>
      </c>
    </row>
    <row r="77" customFormat="false" ht="13.8" hidden="false" customHeight="false" outlineLevel="0" collapsed="false">
      <c r="A77" s="5" t="n">
        <v>79</v>
      </c>
      <c r="B77" s="5" t="s">
        <v>92</v>
      </c>
      <c r="C77" s="1" t="n">
        <v>417</v>
      </c>
      <c r="F77" s="5" t="n">
        <v>56</v>
      </c>
      <c r="G77" s="5" t="s">
        <v>76</v>
      </c>
      <c r="H77" s="7" t="n">
        <v>76.5544147843943</v>
      </c>
      <c r="K77" s="5" t="n">
        <v>90</v>
      </c>
      <c r="L77" s="5" t="s">
        <v>81</v>
      </c>
      <c r="M77" s="9" t="n">
        <v>0.0136168500134156</v>
      </c>
      <c r="P77" s="10" t="n">
        <v>76</v>
      </c>
    </row>
    <row r="78" customFormat="false" ht="13.8" hidden="false" customHeight="false" outlineLevel="0" collapsed="false">
      <c r="A78" s="5" t="n">
        <v>68</v>
      </c>
      <c r="B78" s="5" t="s">
        <v>90</v>
      </c>
      <c r="C78" s="1" t="n">
        <v>410</v>
      </c>
      <c r="F78" s="5" t="n">
        <v>25</v>
      </c>
      <c r="G78" s="5" t="s">
        <v>79</v>
      </c>
      <c r="H78" s="7" t="n">
        <v>77.0434782608696</v>
      </c>
      <c r="K78" s="5" t="n">
        <v>61</v>
      </c>
      <c r="L78" s="5" t="s">
        <v>94</v>
      </c>
      <c r="M78" s="9" t="n">
        <v>0.0137453041730976</v>
      </c>
      <c r="P78" s="10" t="n">
        <v>77</v>
      </c>
    </row>
    <row r="79" customFormat="false" ht="13.8" hidden="false" customHeight="false" outlineLevel="0" collapsed="false">
      <c r="A79" s="5" t="n">
        <v>122</v>
      </c>
      <c r="B79" s="5" t="s">
        <v>7</v>
      </c>
      <c r="C79" s="1" t="n">
        <v>410</v>
      </c>
      <c r="F79" s="5" t="n">
        <v>45</v>
      </c>
      <c r="G79" s="5" t="s">
        <v>78</v>
      </c>
      <c r="H79" s="7" t="n">
        <v>77.1428571428571</v>
      </c>
      <c r="K79" s="5" t="n">
        <v>47</v>
      </c>
      <c r="L79" s="5" t="s">
        <v>95</v>
      </c>
      <c r="M79" s="9" t="n">
        <v>0.0140456774717781</v>
      </c>
      <c r="P79" s="10" t="n">
        <v>78</v>
      </c>
    </row>
    <row r="80" customFormat="false" ht="13.8" hidden="false" customHeight="false" outlineLevel="0" collapsed="false">
      <c r="A80" s="5" t="n">
        <v>57</v>
      </c>
      <c r="B80" s="5" t="s">
        <v>86</v>
      </c>
      <c r="C80" s="1" t="n">
        <v>407</v>
      </c>
      <c r="F80" s="5" t="n">
        <v>34</v>
      </c>
      <c r="G80" s="5" t="s">
        <v>77</v>
      </c>
      <c r="H80" s="7" t="n">
        <v>77.1573498964803</v>
      </c>
      <c r="K80" s="5" t="n">
        <v>111</v>
      </c>
      <c r="L80" s="5" t="s">
        <v>9</v>
      </c>
      <c r="M80" s="9" t="n">
        <v>0.0140968794444909</v>
      </c>
      <c r="P80" s="10" t="n">
        <v>79</v>
      </c>
    </row>
    <row r="81" customFormat="false" ht="13.8" hidden="false" customHeight="false" outlineLevel="0" collapsed="false">
      <c r="A81" s="5" t="n">
        <v>36</v>
      </c>
      <c r="B81" s="5" t="s">
        <v>89</v>
      </c>
      <c r="C81" s="1" t="n">
        <v>405</v>
      </c>
      <c r="F81" s="5" t="n">
        <v>102</v>
      </c>
      <c r="G81" s="5" t="s">
        <v>96</v>
      </c>
      <c r="H81" s="7" t="n">
        <v>77.3032069970845</v>
      </c>
      <c r="K81" s="5" t="n">
        <v>48</v>
      </c>
      <c r="L81" s="5" t="s">
        <v>97</v>
      </c>
      <c r="M81" s="9" t="n">
        <v>0.0148431747901635</v>
      </c>
      <c r="P81" s="10" t="n">
        <v>80</v>
      </c>
    </row>
    <row r="82" customFormat="false" ht="13.8" hidden="false" customHeight="false" outlineLevel="0" collapsed="false">
      <c r="A82" s="5" t="n">
        <v>46</v>
      </c>
      <c r="B82" s="5" t="s">
        <v>88</v>
      </c>
      <c r="C82" s="1" t="n">
        <v>403</v>
      </c>
      <c r="F82" s="5" t="n">
        <v>79</v>
      </c>
      <c r="G82" s="5" t="s">
        <v>92</v>
      </c>
      <c r="H82" s="7" t="n">
        <v>78.410071942446</v>
      </c>
      <c r="K82" s="5" t="n">
        <v>101</v>
      </c>
      <c r="L82" s="5" t="s">
        <v>41</v>
      </c>
      <c r="M82" s="9" t="n">
        <v>0.0148555605448286</v>
      </c>
      <c r="P82" s="10" t="n">
        <v>81</v>
      </c>
    </row>
    <row r="83" customFormat="false" ht="13.8" hidden="false" customHeight="false" outlineLevel="0" collapsed="false">
      <c r="A83" s="5" t="n">
        <v>49</v>
      </c>
      <c r="B83" s="5" t="s">
        <v>91</v>
      </c>
      <c r="C83" s="1" t="n">
        <v>401</v>
      </c>
      <c r="F83" s="5" t="n">
        <v>24</v>
      </c>
      <c r="G83" s="5" t="s">
        <v>83</v>
      </c>
      <c r="H83" s="7" t="n">
        <v>78.6780383795309</v>
      </c>
      <c r="K83" s="5" t="n">
        <v>58</v>
      </c>
      <c r="L83" s="5" t="s">
        <v>98</v>
      </c>
      <c r="M83" s="9" t="n">
        <v>0.0149451715599576</v>
      </c>
      <c r="P83" s="10" t="n">
        <v>82</v>
      </c>
    </row>
    <row r="84" customFormat="false" ht="13.8" hidden="false" customHeight="false" outlineLevel="0" collapsed="false">
      <c r="A84" s="5" t="n">
        <v>61</v>
      </c>
      <c r="B84" s="5" t="s">
        <v>94</v>
      </c>
      <c r="C84" s="1" t="n">
        <v>358</v>
      </c>
      <c r="F84" s="5" t="n">
        <v>37</v>
      </c>
      <c r="G84" s="5" t="s">
        <v>84</v>
      </c>
      <c r="H84" s="7" t="n">
        <v>82.2522727272727</v>
      </c>
      <c r="K84" s="5" t="n">
        <v>69</v>
      </c>
      <c r="L84" s="5" t="s">
        <v>99</v>
      </c>
      <c r="M84" s="9" t="n">
        <v>0.015109391998066</v>
      </c>
      <c r="P84" s="10" t="n">
        <v>83</v>
      </c>
    </row>
    <row r="85" customFormat="false" ht="13.8" hidden="false" customHeight="false" outlineLevel="0" collapsed="false">
      <c r="A85" s="5" t="n">
        <v>124</v>
      </c>
      <c r="B85" s="5" t="s">
        <v>29</v>
      </c>
      <c r="C85" s="1" t="n">
        <v>357</v>
      </c>
      <c r="F85" s="5" t="n">
        <v>97</v>
      </c>
      <c r="G85" s="5" t="s">
        <v>100</v>
      </c>
      <c r="H85" s="7" t="n">
        <v>83.3888888888889</v>
      </c>
      <c r="K85" s="5" t="n">
        <v>73</v>
      </c>
      <c r="L85" s="5" t="s">
        <v>101</v>
      </c>
      <c r="M85" s="9" t="n">
        <v>0.0156299039608311</v>
      </c>
      <c r="P85" s="10" t="n">
        <v>84</v>
      </c>
    </row>
    <row r="86" customFormat="false" ht="13.8" hidden="false" customHeight="false" outlineLevel="0" collapsed="false">
      <c r="A86" s="5" t="n">
        <v>47</v>
      </c>
      <c r="B86" s="5" t="s">
        <v>95</v>
      </c>
      <c r="C86" s="1" t="n">
        <v>346</v>
      </c>
      <c r="F86" s="5" t="n">
        <v>68</v>
      </c>
      <c r="G86" s="5" t="s">
        <v>90</v>
      </c>
      <c r="H86" s="7" t="n">
        <v>84.6219512195122</v>
      </c>
      <c r="K86" s="5" t="n">
        <v>80</v>
      </c>
      <c r="L86" s="5" t="s">
        <v>102</v>
      </c>
      <c r="M86" s="9" t="n">
        <v>0.0160581150831581</v>
      </c>
      <c r="P86" s="10" t="n">
        <v>85</v>
      </c>
    </row>
    <row r="87" customFormat="false" ht="13.8" hidden="false" customHeight="false" outlineLevel="0" collapsed="false">
      <c r="A87" s="5" t="n">
        <v>113</v>
      </c>
      <c r="B87" s="5" t="s">
        <v>61</v>
      </c>
      <c r="C87" s="1" t="n">
        <v>346</v>
      </c>
      <c r="F87" s="5" t="n">
        <v>35</v>
      </c>
      <c r="G87" s="5" t="s">
        <v>85</v>
      </c>
      <c r="H87" s="7" t="n">
        <v>84.8752941176471</v>
      </c>
      <c r="K87" s="5" t="n">
        <v>110</v>
      </c>
      <c r="L87" s="5" t="s">
        <v>13</v>
      </c>
      <c r="M87" s="9" t="n">
        <v>0.0164158686730506</v>
      </c>
      <c r="P87" s="10" t="n">
        <v>86</v>
      </c>
    </row>
    <row r="88" customFormat="false" ht="13.8" hidden="false" customHeight="false" outlineLevel="0" collapsed="false">
      <c r="A88" s="5" t="n">
        <v>102</v>
      </c>
      <c r="B88" s="5" t="s">
        <v>96</v>
      </c>
      <c r="C88" s="1" t="n">
        <v>343</v>
      </c>
      <c r="F88" s="5" t="n">
        <v>36</v>
      </c>
      <c r="G88" s="5" t="s">
        <v>89</v>
      </c>
      <c r="H88" s="7" t="n">
        <v>87.6469135802469</v>
      </c>
      <c r="K88" s="5" t="n">
        <v>112</v>
      </c>
      <c r="L88" s="5" t="s">
        <v>26</v>
      </c>
      <c r="M88" s="9" t="n">
        <v>0.0166680626518134</v>
      </c>
      <c r="P88" s="10" t="n">
        <v>87</v>
      </c>
    </row>
    <row r="89" customFormat="false" ht="13.8" hidden="false" customHeight="false" outlineLevel="0" collapsed="false">
      <c r="A89" s="5" t="n">
        <v>91</v>
      </c>
      <c r="B89" s="5" t="s">
        <v>103</v>
      </c>
      <c r="C89" s="1" t="n">
        <v>333</v>
      </c>
      <c r="F89" s="5" t="n">
        <v>57</v>
      </c>
      <c r="G89" s="5" t="s">
        <v>86</v>
      </c>
      <c r="H89" s="7" t="n">
        <v>87.6830466830467</v>
      </c>
      <c r="K89" s="5" t="n">
        <v>91</v>
      </c>
      <c r="L89" s="5" t="s">
        <v>103</v>
      </c>
      <c r="M89" s="9" t="n">
        <v>0.0169156938157313</v>
      </c>
      <c r="P89" s="10" t="n">
        <v>88</v>
      </c>
    </row>
    <row r="90" customFormat="false" ht="13.8" hidden="false" customHeight="false" outlineLevel="0" collapsed="false">
      <c r="A90" s="5" t="n">
        <v>73</v>
      </c>
      <c r="B90" s="5" t="s">
        <v>101</v>
      </c>
      <c r="C90" s="1" t="n">
        <v>332</v>
      </c>
      <c r="F90" s="5" t="n">
        <v>49</v>
      </c>
      <c r="G90" s="5" t="s">
        <v>91</v>
      </c>
      <c r="H90" s="7" t="n">
        <v>87.9750623441396</v>
      </c>
      <c r="K90" s="5" t="n">
        <v>59</v>
      </c>
      <c r="L90" s="5" t="s">
        <v>104</v>
      </c>
      <c r="M90" s="9" t="n">
        <v>0.0174561295864523</v>
      </c>
      <c r="P90" s="10" t="n">
        <v>89</v>
      </c>
    </row>
    <row r="91" customFormat="false" ht="13.8" hidden="false" customHeight="false" outlineLevel="0" collapsed="false">
      <c r="A91" s="5" t="n">
        <v>69</v>
      </c>
      <c r="B91" s="5" t="s">
        <v>99</v>
      </c>
      <c r="C91" s="1" t="n">
        <v>330</v>
      </c>
      <c r="F91" s="5" t="n">
        <v>91</v>
      </c>
      <c r="G91" s="5" t="s">
        <v>103</v>
      </c>
      <c r="H91" s="7" t="n">
        <v>88.2312312312312</v>
      </c>
      <c r="K91" s="5" t="n">
        <v>60</v>
      </c>
      <c r="L91" s="5" t="s">
        <v>105</v>
      </c>
      <c r="M91" s="9" t="n">
        <v>0.0174722102806608</v>
      </c>
      <c r="P91" s="10" t="n">
        <v>90</v>
      </c>
    </row>
    <row r="92" customFormat="false" ht="13.8" hidden="false" customHeight="false" outlineLevel="0" collapsed="false">
      <c r="A92" s="5" t="n">
        <v>48</v>
      </c>
      <c r="B92" s="5" t="s">
        <v>97</v>
      </c>
      <c r="C92" s="1" t="n">
        <v>326</v>
      </c>
      <c r="F92" s="5" t="n">
        <v>46</v>
      </c>
      <c r="G92" s="5" t="s">
        <v>88</v>
      </c>
      <c r="H92" s="7" t="n">
        <v>88.6079404466501</v>
      </c>
      <c r="K92" s="5" t="n">
        <v>85</v>
      </c>
      <c r="L92" s="5" t="s">
        <v>106</v>
      </c>
      <c r="M92" s="9" t="n">
        <v>0.0176527710341957</v>
      </c>
      <c r="P92" s="10" t="n">
        <v>91</v>
      </c>
    </row>
    <row r="93" customFormat="false" ht="13.8" hidden="false" customHeight="false" outlineLevel="0" collapsed="false">
      <c r="A93" s="5" t="n">
        <v>80</v>
      </c>
      <c r="B93" s="5" t="s">
        <v>102</v>
      </c>
      <c r="C93" s="1" t="n">
        <v>326</v>
      </c>
      <c r="F93" s="5" t="n">
        <v>85</v>
      </c>
      <c r="G93" s="5" t="s">
        <v>106</v>
      </c>
      <c r="H93" s="7" t="n">
        <v>89.8255451713396</v>
      </c>
      <c r="K93" s="5" t="n">
        <v>102</v>
      </c>
      <c r="L93" s="5" t="s">
        <v>96</v>
      </c>
      <c r="M93" s="9" t="n">
        <v>0.0183669620969263</v>
      </c>
      <c r="P93" s="10" t="n">
        <v>92</v>
      </c>
    </row>
    <row r="94" customFormat="false" ht="13.8" hidden="false" customHeight="false" outlineLevel="0" collapsed="false">
      <c r="A94" s="5" t="n">
        <v>58</v>
      </c>
      <c r="B94" s="5" t="s">
        <v>98</v>
      </c>
      <c r="C94" s="1" t="n">
        <v>323</v>
      </c>
      <c r="F94" s="5" t="n">
        <v>114</v>
      </c>
      <c r="G94" s="5" t="s">
        <v>107</v>
      </c>
      <c r="H94" s="7" t="n">
        <v>91.3849206349206</v>
      </c>
      <c r="K94" s="5" t="n">
        <v>70</v>
      </c>
      <c r="L94" s="5" t="s">
        <v>108</v>
      </c>
      <c r="M94" s="9" t="n">
        <v>0.0190463975374355</v>
      </c>
      <c r="P94" s="10" t="n">
        <v>93</v>
      </c>
    </row>
    <row r="95" customFormat="false" ht="13.8" hidden="false" customHeight="false" outlineLevel="0" collapsed="false">
      <c r="A95" s="5" t="n">
        <v>85</v>
      </c>
      <c r="B95" s="5" t="s">
        <v>106</v>
      </c>
      <c r="C95" s="1" t="n">
        <v>321</v>
      </c>
      <c r="F95" s="5" t="n">
        <v>132</v>
      </c>
      <c r="G95" s="5" t="s">
        <v>109</v>
      </c>
      <c r="H95" s="7" t="n">
        <v>95.3783783783784</v>
      </c>
      <c r="K95" s="5" t="n">
        <v>123</v>
      </c>
      <c r="L95" s="5" t="s">
        <v>11</v>
      </c>
      <c r="M95" s="9" t="n">
        <v>0.0199444092261179</v>
      </c>
      <c r="P95" s="10" t="n">
        <v>94</v>
      </c>
    </row>
    <row r="96" customFormat="false" ht="13.8" hidden="false" customHeight="false" outlineLevel="0" collapsed="false">
      <c r="A96" s="5" t="n">
        <v>109</v>
      </c>
      <c r="B96" s="5" t="s">
        <v>87</v>
      </c>
      <c r="C96" s="1" t="n">
        <v>314</v>
      </c>
      <c r="F96" s="5" t="n">
        <v>61</v>
      </c>
      <c r="G96" s="5" t="s">
        <v>94</v>
      </c>
      <c r="H96" s="7" t="n">
        <v>95.9189944134078</v>
      </c>
      <c r="K96" s="5" t="n">
        <v>81</v>
      </c>
      <c r="L96" s="5" t="s">
        <v>110</v>
      </c>
      <c r="M96" s="9" t="n">
        <v>0.0202167287504233</v>
      </c>
      <c r="P96" s="10" t="n">
        <v>95</v>
      </c>
    </row>
    <row r="97" customFormat="false" ht="13.8" hidden="false" customHeight="false" outlineLevel="0" collapsed="false">
      <c r="A97" s="5" t="n">
        <v>97</v>
      </c>
      <c r="B97" s="5" t="s">
        <v>100</v>
      </c>
      <c r="C97" s="1" t="n">
        <v>306</v>
      </c>
      <c r="F97" s="5" t="n">
        <v>73</v>
      </c>
      <c r="G97" s="5" t="s">
        <v>101</v>
      </c>
      <c r="H97" s="7" t="n">
        <v>95.9698795180723</v>
      </c>
      <c r="K97" s="5" t="n">
        <v>97</v>
      </c>
      <c r="L97" s="5" t="s">
        <v>100</v>
      </c>
      <c r="M97" s="9" t="n">
        <v>0.020535329388251</v>
      </c>
      <c r="P97" s="10" t="n">
        <v>96</v>
      </c>
    </row>
    <row r="98" customFormat="false" ht="13.8" hidden="false" customHeight="false" outlineLevel="0" collapsed="false">
      <c r="A98" s="5" t="n">
        <v>121</v>
      </c>
      <c r="B98" s="5" t="s">
        <v>44</v>
      </c>
      <c r="C98" s="1" t="n">
        <v>305</v>
      </c>
      <c r="F98" s="5" t="n">
        <v>80</v>
      </c>
      <c r="G98" s="5" t="s">
        <v>102</v>
      </c>
      <c r="H98" s="7" t="n">
        <v>96.2760736196319</v>
      </c>
      <c r="K98" s="5" t="n">
        <v>113</v>
      </c>
      <c r="L98" s="5" t="s">
        <v>61</v>
      </c>
      <c r="M98" s="9" t="n">
        <v>0.0206484641638225</v>
      </c>
      <c r="P98" s="10" t="n">
        <v>97</v>
      </c>
    </row>
    <row r="99" customFormat="false" ht="13.8" hidden="false" customHeight="false" outlineLevel="0" collapsed="false">
      <c r="A99" s="5" t="n">
        <v>133</v>
      </c>
      <c r="B99" s="5" t="s">
        <v>27</v>
      </c>
      <c r="C99" s="1" t="n">
        <v>294</v>
      </c>
      <c r="F99" s="5" t="n">
        <v>47</v>
      </c>
      <c r="G99" s="5" t="s">
        <v>95</v>
      </c>
      <c r="H99" s="7" t="n">
        <v>99.592485549133</v>
      </c>
      <c r="K99" s="5" t="n">
        <v>72</v>
      </c>
      <c r="L99" s="5" t="s">
        <v>111</v>
      </c>
      <c r="M99" s="9" t="n">
        <v>0.0208465361395551</v>
      </c>
      <c r="P99" s="10" t="n">
        <v>98</v>
      </c>
    </row>
    <row r="100" customFormat="false" ht="13.8" hidden="false" customHeight="false" outlineLevel="0" collapsed="false">
      <c r="A100" s="5" t="n">
        <v>125</v>
      </c>
      <c r="B100" s="5" t="s">
        <v>93</v>
      </c>
      <c r="C100" s="1" t="n">
        <v>264</v>
      </c>
      <c r="F100" s="5" t="n">
        <v>69</v>
      </c>
      <c r="G100" s="5" t="s">
        <v>99</v>
      </c>
      <c r="H100" s="7" t="n">
        <v>100.278787878788</v>
      </c>
      <c r="K100" s="5" t="n">
        <v>92</v>
      </c>
      <c r="L100" s="5" t="s">
        <v>112</v>
      </c>
      <c r="M100" s="9" t="n">
        <v>0.0212727858754432</v>
      </c>
      <c r="P100" s="10" t="n">
        <v>99</v>
      </c>
    </row>
    <row r="101" customFormat="false" ht="13.8" hidden="false" customHeight="false" outlineLevel="0" collapsed="false">
      <c r="A101" s="5" t="n">
        <v>59</v>
      </c>
      <c r="B101" s="5" t="s">
        <v>104</v>
      </c>
      <c r="C101" s="1" t="n">
        <v>261</v>
      </c>
      <c r="F101" s="5" t="n">
        <v>48</v>
      </c>
      <c r="G101" s="5" t="s">
        <v>97</v>
      </c>
      <c r="H101" s="7" t="n">
        <v>104.156441717791</v>
      </c>
      <c r="K101" s="5" t="n">
        <v>71</v>
      </c>
      <c r="L101" s="5" t="s">
        <v>113</v>
      </c>
      <c r="M101" s="9" t="n">
        <v>0.0216861842324759</v>
      </c>
      <c r="P101" s="10" t="n">
        <v>100</v>
      </c>
    </row>
    <row r="102" customFormat="false" ht="13.8" hidden="false" customHeight="false" outlineLevel="0" collapsed="false">
      <c r="A102" s="5" t="n">
        <v>60</v>
      </c>
      <c r="B102" s="5" t="s">
        <v>105</v>
      </c>
      <c r="C102" s="1" t="n">
        <v>261</v>
      </c>
      <c r="F102" s="5" t="n">
        <v>103</v>
      </c>
      <c r="G102" s="5" t="s">
        <v>114</v>
      </c>
      <c r="H102" s="7" t="n">
        <v>104.902834008097</v>
      </c>
      <c r="K102" s="5" t="n">
        <v>122</v>
      </c>
      <c r="L102" s="5" t="s">
        <v>7</v>
      </c>
      <c r="M102" s="9" t="n">
        <v>0.0218454176635806</v>
      </c>
      <c r="P102" s="10" t="n">
        <v>101</v>
      </c>
    </row>
    <row r="103" customFormat="false" ht="13.8" hidden="false" customHeight="false" outlineLevel="0" collapsed="false">
      <c r="A103" s="5" t="n">
        <v>114</v>
      </c>
      <c r="B103" s="5" t="s">
        <v>107</v>
      </c>
      <c r="C103" s="1" t="n">
        <v>252</v>
      </c>
      <c r="F103" s="5" t="n">
        <v>58</v>
      </c>
      <c r="G103" s="5" t="s">
        <v>98</v>
      </c>
      <c r="H103" s="7" t="n">
        <v>105.02786377709</v>
      </c>
      <c r="K103" s="5" t="n">
        <v>103</v>
      </c>
      <c r="L103" s="5" t="s">
        <v>114</v>
      </c>
      <c r="M103" s="9" t="n">
        <v>0.0225000964841187</v>
      </c>
      <c r="P103" s="10" t="n">
        <v>102</v>
      </c>
    </row>
    <row r="104" customFormat="false" ht="13.8" hidden="false" customHeight="false" outlineLevel="0" collapsed="false">
      <c r="A104" s="5" t="n">
        <v>103</v>
      </c>
      <c r="B104" s="5" t="s">
        <v>114</v>
      </c>
      <c r="C104" s="1" t="n">
        <v>247</v>
      </c>
      <c r="F104" s="5" t="n">
        <v>120</v>
      </c>
      <c r="G104" s="5" t="s">
        <v>115</v>
      </c>
      <c r="H104" s="7" t="n">
        <v>107.751552795031</v>
      </c>
      <c r="K104" s="5" t="n">
        <v>109</v>
      </c>
      <c r="L104" s="5" t="s">
        <v>87</v>
      </c>
      <c r="M104" s="9" t="n">
        <v>0.0228177235340939</v>
      </c>
      <c r="P104" s="10" t="n">
        <v>103</v>
      </c>
    </row>
    <row r="105" customFormat="false" ht="13.8" hidden="false" customHeight="false" outlineLevel="0" collapsed="false">
      <c r="A105" s="5" t="n">
        <v>70</v>
      </c>
      <c r="B105" s="5" t="s">
        <v>108</v>
      </c>
      <c r="C105" s="1" t="n">
        <v>236</v>
      </c>
      <c r="F105" s="5" t="n">
        <v>126</v>
      </c>
      <c r="G105" s="5" t="s">
        <v>116</v>
      </c>
      <c r="H105" s="7" t="n">
        <v>114.325581395349</v>
      </c>
      <c r="K105" s="5" t="n">
        <v>124</v>
      </c>
      <c r="L105" s="5" t="s">
        <v>29</v>
      </c>
      <c r="M105" s="9" t="n">
        <v>0.0229700854700855</v>
      </c>
      <c r="P105" s="10" t="n">
        <v>104</v>
      </c>
    </row>
    <row r="106" customFormat="false" ht="13.8" hidden="false" customHeight="false" outlineLevel="0" collapsed="false">
      <c r="A106" s="5" t="n">
        <v>92</v>
      </c>
      <c r="B106" s="5" t="s">
        <v>112</v>
      </c>
      <c r="C106" s="1" t="n">
        <v>236</v>
      </c>
      <c r="F106" s="5" t="n">
        <v>92</v>
      </c>
      <c r="G106" s="5" t="s">
        <v>112</v>
      </c>
      <c r="H106" s="7" t="n">
        <v>118.31779661017</v>
      </c>
      <c r="K106" s="5" t="n">
        <v>82</v>
      </c>
      <c r="L106" s="5" t="s">
        <v>117</v>
      </c>
      <c r="M106" s="9" t="n">
        <v>0.0242223263525934</v>
      </c>
      <c r="P106" s="10" t="n">
        <v>105</v>
      </c>
    </row>
    <row r="107" customFormat="false" ht="13.8" hidden="false" customHeight="false" outlineLevel="0" collapsed="false">
      <c r="A107" s="5" t="n">
        <v>81</v>
      </c>
      <c r="B107" s="5" t="s">
        <v>110</v>
      </c>
      <c r="C107" s="1" t="n">
        <v>233</v>
      </c>
      <c r="F107" s="5" t="n">
        <v>108</v>
      </c>
      <c r="G107" s="5" t="s">
        <v>118</v>
      </c>
      <c r="H107" s="7" t="n">
        <v>120.252941176471</v>
      </c>
      <c r="K107" s="5" t="n">
        <v>84</v>
      </c>
      <c r="L107" s="5" t="s">
        <v>119</v>
      </c>
      <c r="M107" s="9" t="n">
        <v>0.024623134468629</v>
      </c>
      <c r="P107" s="10" t="n">
        <v>106</v>
      </c>
    </row>
    <row r="108" customFormat="false" ht="13.8" hidden="false" customHeight="false" outlineLevel="0" collapsed="false">
      <c r="A108" s="5" t="n">
        <v>72</v>
      </c>
      <c r="B108" s="5" t="s">
        <v>111</v>
      </c>
      <c r="C108" s="1" t="n">
        <v>205</v>
      </c>
      <c r="F108" s="5" t="n">
        <v>60</v>
      </c>
      <c r="G108" s="5" t="s">
        <v>105</v>
      </c>
      <c r="H108" s="7" t="n">
        <v>124.773946360153</v>
      </c>
      <c r="K108" s="5" t="n">
        <v>114</v>
      </c>
      <c r="L108" s="5" t="s">
        <v>107</v>
      </c>
      <c r="M108" s="9" t="n">
        <v>0.0250987884840853</v>
      </c>
      <c r="P108" s="10" t="n">
        <v>107</v>
      </c>
    </row>
    <row r="109" customFormat="false" ht="13.8" hidden="false" customHeight="false" outlineLevel="0" collapsed="false">
      <c r="A109" s="5" t="n">
        <v>71</v>
      </c>
      <c r="B109" s="5" t="s">
        <v>113</v>
      </c>
      <c r="C109" s="1" t="n">
        <v>180</v>
      </c>
      <c r="F109" s="5" t="n">
        <v>59</v>
      </c>
      <c r="G109" s="5" t="s">
        <v>104</v>
      </c>
      <c r="H109" s="7" t="n">
        <v>124.888888888889</v>
      </c>
      <c r="K109" s="5" t="n">
        <v>93</v>
      </c>
      <c r="L109" s="5" t="s">
        <v>120</v>
      </c>
      <c r="M109" s="9" t="n">
        <v>0.0257154866073134</v>
      </c>
      <c r="P109" s="10" t="n">
        <v>108</v>
      </c>
    </row>
    <row r="110" customFormat="false" ht="13.8" hidden="false" customHeight="false" outlineLevel="0" collapsed="false">
      <c r="A110" s="5" t="n">
        <v>84</v>
      </c>
      <c r="B110" s="5" t="s">
        <v>119</v>
      </c>
      <c r="C110" s="1" t="n">
        <v>175</v>
      </c>
      <c r="F110" s="5" t="n">
        <v>81</v>
      </c>
      <c r="G110" s="5" t="s">
        <v>110</v>
      </c>
      <c r="H110" s="7" t="n">
        <v>126.738197424893</v>
      </c>
      <c r="K110" s="5" t="n">
        <v>83</v>
      </c>
      <c r="L110" s="5" t="s">
        <v>121</v>
      </c>
      <c r="M110" s="9" t="n">
        <v>0.0262339317168234</v>
      </c>
      <c r="P110" s="10" t="n">
        <v>109</v>
      </c>
    </row>
    <row r="111" customFormat="false" ht="13.8" hidden="false" customHeight="false" outlineLevel="0" collapsed="false">
      <c r="A111" s="5" t="n">
        <v>126</v>
      </c>
      <c r="B111" s="5" t="s">
        <v>116</v>
      </c>
      <c r="C111" s="1" t="n">
        <v>172</v>
      </c>
      <c r="F111" s="5" t="n">
        <v>70</v>
      </c>
      <c r="G111" s="5" t="s">
        <v>108</v>
      </c>
      <c r="H111" s="7" t="n">
        <v>132.148305084746</v>
      </c>
      <c r="K111" s="5" t="n">
        <v>121</v>
      </c>
      <c r="L111" s="5" t="s">
        <v>44</v>
      </c>
      <c r="M111" s="9" t="n">
        <v>0.0271303808588703</v>
      </c>
      <c r="P111" s="10" t="n">
        <v>110</v>
      </c>
    </row>
    <row r="112" customFormat="false" ht="13.8" hidden="false" customHeight="false" outlineLevel="0" collapsed="false">
      <c r="A112" s="5" t="n">
        <v>108</v>
      </c>
      <c r="B112" s="5" t="s">
        <v>118</v>
      </c>
      <c r="C112" s="1" t="n">
        <v>170</v>
      </c>
      <c r="F112" s="5" t="n">
        <v>115</v>
      </c>
      <c r="G112" s="5" t="s">
        <v>122</v>
      </c>
      <c r="H112" s="7" t="n">
        <v>138.153374233129</v>
      </c>
      <c r="K112" s="5" t="n">
        <v>104</v>
      </c>
      <c r="L112" s="5" t="s">
        <v>123</v>
      </c>
      <c r="M112" s="9" t="n">
        <v>0.0272457403114961</v>
      </c>
      <c r="P112" s="10" t="n">
        <v>111</v>
      </c>
    </row>
    <row r="113" customFormat="false" ht="13.8" hidden="false" customHeight="false" outlineLevel="0" collapsed="false">
      <c r="A113" s="5" t="n">
        <v>115</v>
      </c>
      <c r="B113" s="5" t="s">
        <v>122</v>
      </c>
      <c r="C113" s="1" t="n">
        <v>163</v>
      </c>
      <c r="F113" s="5" t="n">
        <v>96</v>
      </c>
      <c r="G113" s="5" t="s">
        <v>124</v>
      </c>
      <c r="H113" s="7" t="n">
        <v>146.223602484472</v>
      </c>
      <c r="K113" s="5" t="n">
        <v>125</v>
      </c>
      <c r="L113" s="5" t="s">
        <v>93</v>
      </c>
      <c r="M113" s="9" t="n">
        <v>0.0283709273182957</v>
      </c>
      <c r="P113" s="10" t="n">
        <v>112</v>
      </c>
    </row>
    <row r="114" customFormat="false" ht="13.8" hidden="false" customHeight="false" outlineLevel="0" collapsed="false">
      <c r="A114" s="5" t="n">
        <v>96</v>
      </c>
      <c r="B114" s="5" t="s">
        <v>124</v>
      </c>
      <c r="C114" s="1" t="n">
        <v>161</v>
      </c>
      <c r="F114" s="5" t="n">
        <v>72</v>
      </c>
      <c r="G114" s="5" t="s">
        <v>111</v>
      </c>
      <c r="H114" s="7" t="n">
        <v>146.248780487805</v>
      </c>
      <c r="K114" s="5" t="n">
        <v>96</v>
      </c>
      <c r="L114" s="5" t="s">
        <v>124</v>
      </c>
      <c r="M114" s="9" t="n">
        <v>0.0284172967462408</v>
      </c>
      <c r="P114" s="10" t="n">
        <v>113</v>
      </c>
    </row>
    <row r="115" customFormat="false" ht="13.8" hidden="false" customHeight="false" outlineLevel="0" collapsed="false">
      <c r="A115" s="5" t="n">
        <v>120</v>
      </c>
      <c r="B115" s="5" t="s">
        <v>115</v>
      </c>
      <c r="C115" s="1" t="n">
        <v>161</v>
      </c>
      <c r="F115" s="5" t="n">
        <v>84</v>
      </c>
      <c r="G115" s="5" t="s">
        <v>119</v>
      </c>
      <c r="H115" s="7" t="n">
        <v>152.005714285714</v>
      </c>
      <c r="K115" s="5" t="n">
        <v>115</v>
      </c>
      <c r="L115" s="5" t="s">
        <v>122</v>
      </c>
      <c r="M115" s="9" t="n">
        <v>0.0296194324792398</v>
      </c>
      <c r="P115" s="10" t="n">
        <v>114</v>
      </c>
    </row>
    <row r="116" customFormat="false" ht="13.8" hidden="false" customHeight="false" outlineLevel="0" collapsed="false">
      <c r="A116" s="5" t="n">
        <v>104</v>
      </c>
      <c r="B116" s="5" t="s">
        <v>123</v>
      </c>
      <c r="C116" s="1" t="n">
        <v>160</v>
      </c>
      <c r="F116" s="5" t="n">
        <v>104</v>
      </c>
      <c r="G116" s="5" t="s">
        <v>123</v>
      </c>
      <c r="H116" s="7" t="n">
        <v>153.69375</v>
      </c>
      <c r="K116" s="5" t="n">
        <v>94</v>
      </c>
      <c r="L116" s="5" t="s">
        <v>125</v>
      </c>
      <c r="M116" s="9" t="n">
        <v>0.0298239163296156</v>
      </c>
      <c r="P116" s="10" t="n">
        <v>115</v>
      </c>
    </row>
    <row r="117" customFormat="false" ht="13.8" hidden="false" customHeight="false" outlineLevel="0" collapsed="false">
      <c r="A117" s="5" t="n">
        <v>82</v>
      </c>
      <c r="B117" s="5" t="s">
        <v>117</v>
      </c>
      <c r="C117" s="1" t="n">
        <v>158</v>
      </c>
      <c r="F117" s="5" t="n">
        <v>131</v>
      </c>
      <c r="G117" s="5" t="s">
        <v>126</v>
      </c>
      <c r="H117" s="7" t="n">
        <v>157.666666666667</v>
      </c>
      <c r="K117" s="5" t="n">
        <v>95</v>
      </c>
      <c r="L117" s="5" t="s">
        <v>127</v>
      </c>
      <c r="M117" s="9" t="n">
        <v>0.0312714481811942</v>
      </c>
      <c r="P117" s="10" t="n">
        <v>116</v>
      </c>
    </row>
    <row r="118" customFormat="false" ht="13.8" hidden="false" customHeight="false" outlineLevel="0" collapsed="false">
      <c r="A118" s="5" t="n">
        <v>93</v>
      </c>
      <c r="B118" s="5" t="s">
        <v>120</v>
      </c>
      <c r="C118" s="1" t="n">
        <v>157</v>
      </c>
      <c r="F118" s="5" t="n">
        <v>71</v>
      </c>
      <c r="G118" s="5" t="s">
        <v>113</v>
      </c>
      <c r="H118" s="7" t="n">
        <v>166.516666666667</v>
      </c>
      <c r="K118" s="5" t="n">
        <v>105</v>
      </c>
      <c r="L118" s="5" t="s">
        <v>128</v>
      </c>
      <c r="M118" s="9" t="n">
        <v>0.0321804905775873</v>
      </c>
      <c r="P118" s="10" t="n">
        <v>117</v>
      </c>
    </row>
    <row r="119" customFormat="false" ht="13.8" hidden="false" customHeight="false" outlineLevel="0" collapsed="false">
      <c r="A119" s="5" t="n">
        <v>132</v>
      </c>
      <c r="B119" s="5" t="s">
        <v>109</v>
      </c>
      <c r="C119" s="1" t="n">
        <v>148</v>
      </c>
      <c r="F119" s="5" t="n">
        <v>93</v>
      </c>
      <c r="G119" s="5" t="s">
        <v>120</v>
      </c>
      <c r="H119" s="7" t="n">
        <v>166.694267515924</v>
      </c>
      <c r="K119" s="5" t="n">
        <v>108</v>
      </c>
      <c r="L119" s="5" t="s">
        <v>118</v>
      </c>
      <c r="M119" s="9" t="n">
        <v>0.0322848896932935</v>
      </c>
      <c r="P119" s="10" t="n">
        <v>118</v>
      </c>
    </row>
    <row r="120" customFormat="false" ht="13.8" hidden="false" customHeight="false" outlineLevel="0" collapsed="false">
      <c r="A120" s="5" t="n">
        <v>83</v>
      </c>
      <c r="B120" s="5" t="s">
        <v>121</v>
      </c>
      <c r="C120" s="1" t="n">
        <v>130</v>
      </c>
      <c r="F120" s="5" t="n">
        <v>82</v>
      </c>
      <c r="G120" s="5" t="s">
        <v>117</v>
      </c>
      <c r="H120" s="7" t="n">
        <v>175.588607594937</v>
      </c>
      <c r="K120" s="5" t="n">
        <v>133</v>
      </c>
      <c r="L120" s="5" t="s">
        <v>27</v>
      </c>
      <c r="M120" s="9" t="n">
        <v>0.0324082471733478</v>
      </c>
      <c r="P120" s="10" t="n">
        <v>119</v>
      </c>
    </row>
    <row r="121" customFormat="false" ht="13.8" hidden="false" customHeight="false" outlineLevel="0" collapsed="false">
      <c r="A121" s="5" t="n">
        <v>95</v>
      </c>
      <c r="B121" s="5" t="s">
        <v>127</v>
      </c>
      <c r="C121" s="1" t="n">
        <v>101</v>
      </c>
      <c r="F121" s="5" t="n">
        <v>127</v>
      </c>
      <c r="G121" s="5" t="s">
        <v>129</v>
      </c>
      <c r="H121" s="7" t="n">
        <v>190.425742574257</v>
      </c>
      <c r="K121" s="5" t="n">
        <v>126</v>
      </c>
      <c r="L121" s="5" t="s">
        <v>116</v>
      </c>
      <c r="M121" s="9" t="n">
        <v>0.0334621643612693</v>
      </c>
      <c r="P121" s="10" t="n">
        <v>120</v>
      </c>
    </row>
    <row r="122" customFormat="false" ht="13.8" hidden="false" customHeight="false" outlineLevel="0" collapsed="false">
      <c r="A122" s="5" t="n">
        <v>127</v>
      </c>
      <c r="B122" s="5" t="s">
        <v>129</v>
      </c>
      <c r="C122" s="1" t="n">
        <v>101</v>
      </c>
      <c r="F122" s="5" t="n">
        <v>119</v>
      </c>
      <c r="G122" s="5" t="s">
        <v>130</v>
      </c>
      <c r="H122" s="7" t="n">
        <v>190.6</v>
      </c>
      <c r="K122" s="5" t="n">
        <v>116</v>
      </c>
      <c r="L122" s="5" t="s">
        <v>131</v>
      </c>
      <c r="M122" s="9" t="n">
        <v>0.034604853177226</v>
      </c>
      <c r="P122" s="10" t="n">
        <v>121</v>
      </c>
    </row>
    <row r="123" customFormat="false" ht="13.8" hidden="false" customHeight="false" outlineLevel="0" collapsed="false">
      <c r="A123" s="5" t="n">
        <v>94</v>
      </c>
      <c r="B123" s="5" t="s">
        <v>125</v>
      </c>
      <c r="C123" s="1" t="n">
        <v>100</v>
      </c>
      <c r="F123" s="5" t="n">
        <v>83</v>
      </c>
      <c r="G123" s="5" t="s">
        <v>121</v>
      </c>
      <c r="H123" s="7" t="n">
        <v>205.253846153846</v>
      </c>
      <c r="K123" s="5" t="n">
        <v>106</v>
      </c>
      <c r="L123" s="5" t="s">
        <v>132</v>
      </c>
      <c r="M123" s="9" t="n">
        <v>0.0361235557651497</v>
      </c>
      <c r="P123" s="10" t="n">
        <v>122</v>
      </c>
    </row>
    <row r="124" customFormat="false" ht="13.8" hidden="false" customHeight="false" outlineLevel="0" collapsed="false">
      <c r="A124" s="5" t="n">
        <v>116</v>
      </c>
      <c r="B124" s="5" t="s">
        <v>131</v>
      </c>
      <c r="C124" s="1" t="n">
        <v>97</v>
      </c>
      <c r="F124" s="5" t="n">
        <v>107</v>
      </c>
      <c r="G124" s="5" t="s">
        <v>133</v>
      </c>
      <c r="H124" s="7" t="n">
        <v>214.073684210526</v>
      </c>
      <c r="K124" s="5" t="n">
        <v>107</v>
      </c>
      <c r="L124" s="5" t="s">
        <v>133</v>
      </c>
      <c r="M124" s="9" t="n">
        <v>0.0361410237498156</v>
      </c>
      <c r="P124" s="10" t="n">
        <v>123</v>
      </c>
    </row>
    <row r="125" customFormat="false" ht="13.8" hidden="false" customHeight="false" outlineLevel="0" collapsed="false">
      <c r="A125" s="5" t="n">
        <v>107</v>
      </c>
      <c r="B125" s="5" t="s">
        <v>133</v>
      </c>
      <c r="C125" s="1" t="n">
        <v>95</v>
      </c>
      <c r="F125" s="5" t="n">
        <v>116</v>
      </c>
      <c r="G125" s="5" t="s">
        <v>131</v>
      </c>
      <c r="H125" s="7" t="n">
        <v>218.371134020619</v>
      </c>
      <c r="K125" s="5" t="n">
        <v>127</v>
      </c>
      <c r="L125" s="5" t="s">
        <v>129</v>
      </c>
      <c r="M125" s="9" t="n">
        <v>0.0379036031820309</v>
      </c>
      <c r="P125" s="10" t="n">
        <v>124</v>
      </c>
    </row>
    <row r="126" customFormat="false" ht="13.8" hidden="false" customHeight="false" outlineLevel="0" collapsed="false">
      <c r="A126" s="5" t="n">
        <v>105</v>
      </c>
      <c r="B126" s="5" t="s">
        <v>128</v>
      </c>
      <c r="C126" s="1" t="n">
        <v>94</v>
      </c>
      <c r="F126" s="5" t="n">
        <v>95</v>
      </c>
      <c r="G126" s="5" t="s">
        <v>127</v>
      </c>
      <c r="H126" s="7" t="n">
        <v>230.811881188119</v>
      </c>
      <c r="K126" s="5" t="n">
        <v>120</v>
      </c>
      <c r="L126" s="5" t="s">
        <v>115</v>
      </c>
      <c r="M126" s="9" t="n">
        <v>0.0385635231727</v>
      </c>
      <c r="P126" s="10" t="n">
        <v>125</v>
      </c>
    </row>
    <row r="127" customFormat="false" ht="13.8" hidden="false" customHeight="false" outlineLevel="0" collapsed="false">
      <c r="A127" s="5" t="n">
        <v>119</v>
      </c>
      <c r="B127" s="5" t="s">
        <v>130</v>
      </c>
      <c r="C127" s="1" t="n">
        <v>90</v>
      </c>
      <c r="F127" s="5" t="n">
        <v>105</v>
      </c>
      <c r="G127" s="5" t="s">
        <v>128</v>
      </c>
      <c r="H127" s="7" t="n">
        <v>243.308510638298</v>
      </c>
      <c r="K127" s="5" t="n">
        <v>117</v>
      </c>
      <c r="L127" s="5" t="s">
        <v>134</v>
      </c>
      <c r="M127" s="9" t="n">
        <v>0.0390216388062763</v>
      </c>
      <c r="P127" s="10" t="n">
        <v>126</v>
      </c>
    </row>
    <row r="128" customFormat="false" ht="13.8" hidden="false" customHeight="false" outlineLevel="0" collapsed="false">
      <c r="A128" s="5" t="n">
        <v>131</v>
      </c>
      <c r="B128" s="5" t="s">
        <v>126</v>
      </c>
      <c r="C128" s="1" t="n">
        <v>90</v>
      </c>
      <c r="F128" s="5" t="n">
        <v>94</v>
      </c>
      <c r="G128" s="5" t="s">
        <v>125</v>
      </c>
      <c r="H128" s="7" t="n">
        <v>244.77</v>
      </c>
      <c r="K128" s="5" t="n">
        <v>118</v>
      </c>
      <c r="L128" s="5" t="s">
        <v>135</v>
      </c>
      <c r="M128" s="9" t="n">
        <v>0.0423373759647189</v>
      </c>
      <c r="P128" s="10" t="n">
        <v>127</v>
      </c>
    </row>
    <row r="129" customFormat="false" ht="13.8" hidden="false" customHeight="false" outlineLevel="0" collapsed="false">
      <c r="A129" s="5" t="n">
        <v>117</v>
      </c>
      <c r="B129" s="5" t="s">
        <v>134</v>
      </c>
      <c r="C129" s="1" t="n">
        <v>69</v>
      </c>
      <c r="F129" s="5" t="n">
        <v>130</v>
      </c>
      <c r="G129" s="5" t="s">
        <v>136</v>
      </c>
      <c r="H129" s="7" t="n">
        <v>255.203389830508</v>
      </c>
      <c r="K129" s="5" t="n">
        <v>128</v>
      </c>
      <c r="L129" s="5" t="s">
        <v>137</v>
      </c>
      <c r="M129" s="9" t="n">
        <v>0.0424796521351321</v>
      </c>
      <c r="P129" s="10" t="n">
        <v>128</v>
      </c>
    </row>
    <row r="130" customFormat="false" ht="13.8" hidden="false" customHeight="false" outlineLevel="0" collapsed="false">
      <c r="A130" s="5" t="n">
        <v>128</v>
      </c>
      <c r="B130" s="5" t="s">
        <v>137</v>
      </c>
      <c r="C130" s="1" t="n">
        <v>68</v>
      </c>
      <c r="F130" s="5" t="n">
        <v>128</v>
      </c>
      <c r="G130" s="5" t="s">
        <v>137</v>
      </c>
      <c r="H130" s="7" t="n">
        <v>263.794117647059</v>
      </c>
      <c r="K130" s="5" t="n">
        <v>119</v>
      </c>
      <c r="L130" s="5" t="s">
        <v>130</v>
      </c>
      <c r="M130" s="9" t="n">
        <v>0.0431386265594031</v>
      </c>
      <c r="P130" s="10" t="n">
        <v>129</v>
      </c>
    </row>
    <row r="131" customFormat="false" ht="13.8" hidden="false" customHeight="false" outlineLevel="0" collapsed="false">
      <c r="A131" s="5" t="n">
        <v>106</v>
      </c>
      <c r="B131" s="5" t="s">
        <v>132</v>
      </c>
      <c r="C131" s="1" t="n">
        <v>64</v>
      </c>
      <c r="F131" s="5" t="n">
        <v>129</v>
      </c>
      <c r="G131" s="5" t="s">
        <v>138</v>
      </c>
      <c r="H131" s="7" t="n">
        <v>279.71186440678</v>
      </c>
      <c r="K131" s="5" t="n">
        <v>129</v>
      </c>
      <c r="L131" s="5" t="s">
        <v>138</v>
      </c>
      <c r="M131" s="9" t="n">
        <v>0.0467187784039266</v>
      </c>
      <c r="P131" s="10" t="n">
        <v>130</v>
      </c>
    </row>
    <row r="132" customFormat="false" ht="13.8" hidden="false" customHeight="false" outlineLevel="0" collapsed="false">
      <c r="A132" s="5" t="n">
        <v>118</v>
      </c>
      <c r="B132" s="5" t="s">
        <v>135</v>
      </c>
      <c r="C132" s="1" t="n">
        <v>62</v>
      </c>
      <c r="F132" s="5" t="n">
        <v>117</v>
      </c>
      <c r="G132" s="5" t="s">
        <v>134</v>
      </c>
      <c r="H132" s="7" t="n">
        <v>282.63768115942</v>
      </c>
      <c r="K132" s="5" t="n">
        <v>132</v>
      </c>
      <c r="L132" s="5" t="s">
        <v>109</v>
      </c>
      <c r="M132" s="9" t="n">
        <v>0.0483139699631624</v>
      </c>
      <c r="P132" s="10" t="n">
        <v>131</v>
      </c>
    </row>
    <row r="133" customFormat="false" ht="13.8" hidden="false" customHeight="false" outlineLevel="0" collapsed="false">
      <c r="A133" s="5" t="n">
        <v>129</v>
      </c>
      <c r="B133" s="5" t="s">
        <v>138</v>
      </c>
      <c r="C133" s="1" t="n">
        <v>59</v>
      </c>
      <c r="F133" s="5" t="n">
        <v>118</v>
      </c>
      <c r="G133" s="5" t="s">
        <v>135</v>
      </c>
      <c r="H133" s="7" t="n">
        <v>292.58064516129</v>
      </c>
      <c r="K133" s="5" t="n">
        <v>130</v>
      </c>
      <c r="L133" s="5" t="s">
        <v>136</v>
      </c>
      <c r="M133" s="9" t="n">
        <v>0.0512054194062562</v>
      </c>
      <c r="P133" s="10" t="n">
        <v>132</v>
      </c>
    </row>
    <row r="134" customFormat="false" ht="13.8" hidden="false" customHeight="false" outlineLevel="0" collapsed="false">
      <c r="A134" s="5" t="n">
        <v>130</v>
      </c>
      <c r="B134" s="5" t="s">
        <v>136</v>
      </c>
      <c r="C134" s="1" t="n">
        <v>59</v>
      </c>
      <c r="F134" s="5" t="n">
        <v>106</v>
      </c>
      <c r="G134" s="5" t="s">
        <v>132</v>
      </c>
      <c r="H134" s="7" t="n">
        <v>331.328125</v>
      </c>
      <c r="K134" s="5" t="n">
        <v>131</v>
      </c>
      <c r="L134" s="5" t="s">
        <v>126</v>
      </c>
      <c r="M134" s="9" t="n">
        <v>0.0521494009866103</v>
      </c>
      <c r="P134" s="10" t="n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G1" activeCellId="0" sqref="G1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1" width="4.69"/>
    <col collapsed="false" customWidth="true" hidden="false" outlineLevel="0" max="2" min="2" style="1" width="10.09"/>
    <col collapsed="false" customWidth="true" hidden="false" outlineLevel="0" max="3" min="3" style="1" width="13.85"/>
    <col collapsed="false" customWidth="true" hidden="false" outlineLevel="0" max="4" min="4" style="1" width="13.48"/>
    <col collapsed="false" customWidth="true" hidden="false" outlineLevel="0" max="5" min="5" style="0" width="15.81"/>
    <col collapsed="false" customWidth="true" hidden="false" outlineLevel="0" max="7" min="7" style="1" width="12.99"/>
    <col collapsed="false" customWidth="true" hidden="false" outlineLevel="0" max="9" min="9" style="0" width="15.56"/>
  </cols>
  <sheetData>
    <row r="1" customFormat="false" ht="61.15" hidden="false" customHeight="false" outlineLevel="0" collapsed="false">
      <c r="A1" s="21" t="s">
        <v>0</v>
      </c>
      <c r="B1" s="21" t="s">
        <v>1</v>
      </c>
      <c r="C1" s="22" t="s">
        <v>139</v>
      </c>
      <c r="D1" s="22" t="s">
        <v>140</v>
      </c>
      <c r="E1" s="3" t="s">
        <v>141</v>
      </c>
      <c r="F1" s="4" t="s">
        <v>142</v>
      </c>
      <c r="G1" s="3" t="s">
        <v>143</v>
      </c>
      <c r="I1" s="23" t="s">
        <v>144</v>
      </c>
    </row>
    <row r="2" customFormat="false" ht="15" hidden="false" customHeight="false" outlineLevel="0" collapsed="false">
      <c r="A2" s="24" t="n">
        <v>1</v>
      </c>
      <c r="B2" s="24" t="s">
        <v>50</v>
      </c>
      <c r="C2" s="25" t="n">
        <v>38820</v>
      </c>
      <c r="D2" s="25" t="n">
        <v>267</v>
      </c>
      <c r="E2" s="1" t="n">
        <f aca="false">$I$2-D2</f>
        <v>563</v>
      </c>
      <c r="F2" s="7" t="n">
        <f aca="false">C2/($I$2-D2)</f>
        <v>68.9520426287744</v>
      </c>
      <c r="G2" s="9" t="n">
        <f aca="false">D2/C2</f>
        <v>0.00687789799072643</v>
      </c>
      <c r="I2" s="26" t="n">
        <v>830</v>
      </c>
    </row>
    <row r="3" customFormat="false" ht="15" hidden="false" customHeight="false" outlineLevel="0" collapsed="false">
      <c r="A3" s="24" t="n">
        <v>2</v>
      </c>
      <c r="B3" s="24" t="s">
        <v>63</v>
      </c>
      <c r="C3" s="25" t="n">
        <v>38516</v>
      </c>
      <c r="D3" s="25" t="n">
        <v>282</v>
      </c>
      <c r="E3" s="1" t="n">
        <f aca="false">$I$2-D3</f>
        <v>548</v>
      </c>
      <c r="F3" s="7" t="n">
        <f aca="false">C3/($I$2-D3)</f>
        <v>70.2846715328467</v>
      </c>
      <c r="G3" s="9" t="n">
        <f aca="false">D3/C3</f>
        <v>0.00732163256828331</v>
      </c>
    </row>
    <row r="4" customFormat="false" ht="15" hidden="false" customHeight="false" outlineLevel="0" collapsed="false">
      <c r="A4" s="24" t="n">
        <v>3</v>
      </c>
      <c r="B4" s="24" t="s">
        <v>48</v>
      </c>
      <c r="C4" s="25" t="n">
        <v>38768</v>
      </c>
      <c r="D4" s="25" t="n">
        <v>266</v>
      </c>
      <c r="E4" s="1" t="n">
        <f aca="false">$I$2-D4</f>
        <v>564</v>
      </c>
      <c r="F4" s="7" t="n">
        <f aca="false">C4/($I$2-D4)</f>
        <v>68.7375886524823</v>
      </c>
      <c r="G4" s="9" t="n">
        <f aca="false">D4/C4</f>
        <v>0.00686132893107718</v>
      </c>
    </row>
    <row r="5" customFormat="false" ht="15" hidden="false" customHeight="false" outlineLevel="0" collapsed="false">
      <c r="A5" s="24" t="n">
        <v>4</v>
      </c>
      <c r="B5" s="24" t="s">
        <v>30</v>
      </c>
      <c r="C5" s="25" t="n">
        <v>38844</v>
      </c>
      <c r="D5" s="25" t="n">
        <v>262</v>
      </c>
      <c r="E5" s="1" t="n">
        <f aca="false">$I$2-D5</f>
        <v>568</v>
      </c>
      <c r="F5" s="7" t="n">
        <f aca="false">C5/($I$2-D5)</f>
        <v>68.387323943662</v>
      </c>
      <c r="G5" s="9" t="n">
        <f aca="false">D5/C5</f>
        <v>0.00674492843167542</v>
      </c>
    </row>
    <row r="6" customFormat="false" ht="15" hidden="false" customHeight="false" outlineLevel="0" collapsed="false">
      <c r="A6" s="24" t="n">
        <v>5</v>
      </c>
      <c r="B6" s="24" t="s">
        <v>25</v>
      </c>
      <c r="C6" s="25" t="n">
        <v>38811</v>
      </c>
      <c r="D6" s="25" t="n">
        <v>260</v>
      </c>
      <c r="E6" s="1" t="n">
        <f aca="false">$I$2-D6</f>
        <v>570</v>
      </c>
      <c r="F6" s="7" t="n">
        <f aca="false">C6/($I$2-D6)</f>
        <v>68.0894736842105</v>
      </c>
      <c r="G6" s="9" t="n">
        <f aca="false">D6/C6</f>
        <v>0.00669913168946948</v>
      </c>
    </row>
    <row r="7" customFormat="false" ht="15" hidden="false" customHeight="false" outlineLevel="0" collapsed="false">
      <c r="A7" s="24" t="n">
        <v>6</v>
      </c>
      <c r="B7" s="24" t="s">
        <v>32</v>
      </c>
      <c r="C7" s="25" t="n">
        <v>38781</v>
      </c>
      <c r="D7" s="25" t="n">
        <v>262</v>
      </c>
      <c r="E7" s="1" t="n">
        <f aca="false">$I$2-D7</f>
        <v>568</v>
      </c>
      <c r="F7" s="7" t="n">
        <f aca="false">C7/($I$2-D7)</f>
        <v>68.2764084507042</v>
      </c>
      <c r="G7" s="9" t="n">
        <f aca="false">D7/C7</f>
        <v>0.00675588561408937</v>
      </c>
    </row>
    <row r="8" customFormat="false" ht="15" hidden="false" customHeight="false" outlineLevel="0" collapsed="false">
      <c r="A8" s="24" t="n">
        <v>7</v>
      </c>
      <c r="B8" s="24" t="s">
        <v>53</v>
      </c>
      <c r="C8" s="25" t="n">
        <v>38810</v>
      </c>
      <c r="D8" s="25" t="n">
        <v>268</v>
      </c>
      <c r="E8" s="1" t="n">
        <f aca="false">$I$2-D8</f>
        <v>562</v>
      </c>
      <c r="F8" s="7" t="n">
        <f aca="false">C8/($I$2-D8)</f>
        <v>69.0569395017794</v>
      </c>
      <c r="G8" s="9" t="n">
        <f aca="false">D8/C8</f>
        <v>0.00690543674310745</v>
      </c>
    </row>
    <row r="9" customFormat="false" ht="15" hidden="false" customHeight="false" outlineLevel="0" collapsed="false">
      <c r="A9" s="24" t="n">
        <v>8</v>
      </c>
      <c r="B9" s="24" t="s">
        <v>55</v>
      </c>
      <c r="C9" s="25" t="n">
        <v>38817</v>
      </c>
      <c r="D9" s="25" t="n">
        <v>269</v>
      </c>
      <c r="E9" s="1" t="n">
        <f aca="false">$I$2-D9</f>
        <v>561</v>
      </c>
      <c r="F9" s="7" t="n">
        <f aca="false">C9/($I$2-D9)</f>
        <v>69.192513368984</v>
      </c>
      <c r="G9" s="9" t="n">
        <f aca="false">D9/C9</f>
        <v>0.00692995337094572</v>
      </c>
    </row>
    <row r="10" customFormat="false" ht="15" hidden="false" customHeight="false" outlineLevel="0" collapsed="false">
      <c r="A10" s="24" t="n">
        <v>9</v>
      </c>
      <c r="B10" s="24" t="s">
        <v>57</v>
      </c>
      <c r="C10" s="25" t="n">
        <v>38783</v>
      </c>
      <c r="D10" s="25" t="n">
        <v>271</v>
      </c>
      <c r="E10" s="1" t="n">
        <f aca="false">$I$2-D10</f>
        <v>559</v>
      </c>
      <c r="F10" s="7" t="n">
        <f aca="false">C10/($I$2-D10)</f>
        <v>69.3792486583184</v>
      </c>
      <c r="G10" s="9" t="n">
        <f aca="false">D10/C10</f>
        <v>0.00698759765876802</v>
      </c>
    </row>
    <row r="11" customFormat="false" ht="15" hidden="false" customHeight="false" outlineLevel="0" collapsed="false">
      <c r="A11" s="24" t="n">
        <v>10</v>
      </c>
      <c r="B11" s="24" t="s">
        <v>58</v>
      </c>
      <c r="C11" s="25" t="n">
        <v>38718</v>
      </c>
      <c r="D11" s="25" t="n">
        <v>274</v>
      </c>
      <c r="E11" s="1" t="n">
        <f aca="false">$I$2-D11</f>
        <v>556</v>
      </c>
      <c r="F11" s="7" t="n">
        <f aca="false">C11/($I$2-D11)</f>
        <v>69.636690647482</v>
      </c>
      <c r="G11" s="9" t="n">
        <f aca="false">D11/C11</f>
        <v>0.00707681181879229</v>
      </c>
    </row>
    <row r="12" customFormat="false" ht="15" hidden="false" customHeight="false" outlineLevel="0" collapsed="false">
      <c r="A12" s="24" t="n">
        <v>11</v>
      </c>
      <c r="B12" s="24" t="s">
        <v>64</v>
      </c>
      <c r="C12" s="25" t="n">
        <v>38545</v>
      </c>
      <c r="D12" s="25" t="n">
        <v>283</v>
      </c>
      <c r="E12" s="1" t="n">
        <f aca="false">$I$2-D12</f>
        <v>547</v>
      </c>
      <c r="F12" s="7" t="n">
        <f aca="false">C12/($I$2-D12)</f>
        <v>70.4661791590494</v>
      </c>
      <c r="G12" s="9" t="n">
        <f aca="false">D12/C12</f>
        <v>0.00734206771306265</v>
      </c>
    </row>
    <row r="13" customFormat="false" ht="15" hidden="false" customHeight="false" outlineLevel="0" collapsed="false">
      <c r="A13" s="24" t="n">
        <v>12</v>
      </c>
      <c r="B13" s="24" t="s">
        <v>70</v>
      </c>
      <c r="C13" s="25" t="n">
        <v>38162</v>
      </c>
      <c r="D13" s="25" t="n">
        <v>300</v>
      </c>
      <c r="E13" s="1" t="n">
        <f aca="false">$I$2-D13</f>
        <v>530</v>
      </c>
      <c r="F13" s="7" t="n">
        <f aca="false">C13/($I$2-D13)</f>
        <v>72.0037735849057</v>
      </c>
      <c r="G13" s="9" t="n">
        <f aca="false">D13/C13</f>
        <v>0.0078612232063309</v>
      </c>
    </row>
    <row r="14" customFormat="false" ht="15" hidden="false" customHeight="false" outlineLevel="0" collapsed="false">
      <c r="A14" s="24" t="n">
        <v>13</v>
      </c>
      <c r="B14" s="24" t="s">
        <v>71</v>
      </c>
      <c r="C14" s="25" t="n">
        <v>38127</v>
      </c>
      <c r="D14" s="25" t="n">
        <v>300</v>
      </c>
      <c r="E14" s="1" t="n">
        <f aca="false">$I$2-D14</f>
        <v>530</v>
      </c>
      <c r="F14" s="7" t="n">
        <f aca="false">C14/($I$2-D14)</f>
        <v>71.9377358490566</v>
      </c>
      <c r="G14" s="9" t="n">
        <f aca="false">D14/C14</f>
        <v>0.00786843968840979</v>
      </c>
    </row>
    <row r="15" customFormat="false" ht="15" hidden="false" customHeight="false" outlineLevel="0" collapsed="false">
      <c r="A15" s="24" t="n">
        <v>14</v>
      </c>
      <c r="B15" s="24" t="s">
        <v>69</v>
      </c>
      <c r="C15" s="25" t="n">
        <v>38182</v>
      </c>
      <c r="D15" s="25" t="n">
        <v>295</v>
      </c>
      <c r="E15" s="1" t="n">
        <f aca="false">$I$2-D15</f>
        <v>535</v>
      </c>
      <c r="F15" s="7" t="n">
        <f aca="false">C15/($I$2-D15)</f>
        <v>71.3682242990654</v>
      </c>
      <c r="G15" s="9" t="n">
        <f aca="false">D15/C15</f>
        <v>0.00772615368498245</v>
      </c>
    </row>
    <row r="16" customFormat="false" ht="15" hidden="false" customHeight="false" outlineLevel="0" collapsed="false">
      <c r="A16" s="24" t="n">
        <v>15</v>
      </c>
      <c r="B16" s="24" t="s">
        <v>52</v>
      </c>
      <c r="C16" s="25" t="n">
        <v>38751</v>
      </c>
      <c r="D16" s="25" t="n">
        <v>267</v>
      </c>
      <c r="E16" s="1" t="n">
        <f aca="false">$I$2-D16</f>
        <v>563</v>
      </c>
      <c r="F16" s="7" t="n">
        <f aca="false">C16/($I$2-D16)</f>
        <v>68.8294849023091</v>
      </c>
      <c r="G16" s="9" t="n">
        <f aca="false">D16/C16</f>
        <v>0.00689014477045754</v>
      </c>
    </row>
    <row r="17" customFormat="false" ht="15" hidden="false" customHeight="false" outlineLevel="0" collapsed="false">
      <c r="A17" s="24" t="n">
        <v>16</v>
      </c>
      <c r="B17" s="24" t="s">
        <v>20</v>
      </c>
      <c r="C17" s="25" t="n">
        <v>38874</v>
      </c>
      <c r="D17" s="25" t="n">
        <v>258</v>
      </c>
      <c r="E17" s="1" t="n">
        <f aca="false">$I$2-D17</f>
        <v>572</v>
      </c>
      <c r="F17" s="7" t="n">
        <f aca="false">C17/($I$2-D17)</f>
        <v>67.9615384615385</v>
      </c>
      <c r="G17" s="9" t="n">
        <f aca="false">D17/C17</f>
        <v>0.00663682667078253</v>
      </c>
    </row>
    <row r="18" customFormat="false" ht="15" hidden="false" customHeight="false" outlineLevel="0" collapsed="false">
      <c r="A18" s="24" t="n">
        <v>17</v>
      </c>
      <c r="B18" s="24" t="s">
        <v>23</v>
      </c>
      <c r="C18" s="25" t="n">
        <v>38734</v>
      </c>
      <c r="D18" s="25" t="n">
        <v>259</v>
      </c>
      <c r="E18" s="1" t="n">
        <f aca="false">$I$2-D18</f>
        <v>571</v>
      </c>
      <c r="F18" s="7" t="n">
        <f aca="false">C18/($I$2-D18)</f>
        <v>67.8353765323993</v>
      </c>
      <c r="G18" s="9" t="n">
        <f aca="false">D18/C18</f>
        <v>0.00668663189962307</v>
      </c>
    </row>
    <row r="19" customFormat="false" ht="15" hidden="false" customHeight="false" outlineLevel="0" collapsed="false">
      <c r="A19" s="24" t="n">
        <v>18</v>
      </c>
      <c r="B19" s="24" t="s">
        <v>36</v>
      </c>
      <c r="C19" s="25" t="n">
        <v>38728</v>
      </c>
      <c r="D19" s="25" t="n">
        <v>263</v>
      </c>
      <c r="E19" s="1" t="n">
        <f aca="false">$I$2-D19</f>
        <v>567</v>
      </c>
      <c r="F19" s="7" t="n">
        <f aca="false">C19/($I$2-D19)</f>
        <v>68.3033509700176</v>
      </c>
      <c r="G19" s="9" t="n">
        <f aca="false">D19/C19</f>
        <v>0.00679095228258624</v>
      </c>
    </row>
    <row r="20" customFormat="false" ht="15" hidden="false" customHeight="false" outlineLevel="0" collapsed="false">
      <c r="A20" s="24" t="n">
        <v>19</v>
      </c>
      <c r="B20" s="24" t="s">
        <v>45</v>
      </c>
      <c r="C20" s="25" t="n">
        <v>38818</v>
      </c>
      <c r="D20" s="25" t="n">
        <v>266</v>
      </c>
      <c r="E20" s="1" t="n">
        <f aca="false">$I$2-D20</f>
        <v>564</v>
      </c>
      <c r="F20" s="7" t="n">
        <f aca="false">C20/($I$2-D20)</f>
        <v>68.8262411347518</v>
      </c>
      <c r="G20" s="9" t="n">
        <f aca="false">D20/C20</f>
        <v>0.00685249111237055</v>
      </c>
    </row>
    <row r="21" customFormat="false" ht="15" hidden="false" customHeight="false" outlineLevel="0" collapsed="false">
      <c r="A21" s="24" t="n">
        <v>20</v>
      </c>
      <c r="B21" s="24" t="s">
        <v>46</v>
      </c>
      <c r="C21" s="25" t="n">
        <v>38787</v>
      </c>
      <c r="D21" s="25" t="n">
        <v>266</v>
      </c>
      <c r="E21" s="1" t="n">
        <f aca="false">$I$2-D21</f>
        <v>564</v>
      </c>
      <c r="F21" s="7" t="n">
        <f aca="false">C21/($I$2-D21)</f>
        <v>68.7712765957447</v>
      </c>
      <c r="G21" s="9" t="n">
        <f aca="false">D21/C21</f>
        <v>0.00685796787583469</v>
      </c>
    </row>
    <row r="22" customFormat="false" ht="15" hidden="false" customHeight="false" outlineLevel="0" collapsed="false">
      <c r="A22" s="24" t="n">
        <v>21</v>
      </c>
      <c r="B22" s="24" t="s">
        <v>60</v>
      </c>
      <c r="C22" s="25" t="n">
        <v>38675</v>
      </c>
      <c r="D22" s="25" t="n">
        <v>275</v>
      </c>
      <c r="E22" s="1" t="n">
        <f aca="false">$I$2-D22</f>
        <v>555</v>
      </c>
      <c r="F22" s="7" t="n">
        <f aca="false">C22/($I$2-D22)</f>
        <v>69.6846846846847</v>
      </c>
      <c r="G22" s="9" t="n">
        <f aca="false">D22/C22</f>
        <v>0.00711053652230123</v>
      </c>
    </row>
    <row r="23" customFormat="false" ht="15" hidden="false" customHeight="false" outlineLevel="0" collapsed="false">
      <c r="A23" s="24" t="n">
        <v>22</v>
      </c>
      <c r="B23" s="24" t="s">
        <v>65</v>
      </c>
      <c r="C23" s="25" t="n">
        <v>38339</v>
      </c>
      <c r="D23" s="25" t="n">
        <v>290</v>
      </c>
      <c r="E23" s="1" t="n">
        <f aca="false">$I$2-D23</f>
        <v>540</v>
      </c>
      <c r="F23" s="7" t="n">
        <f aca="false">C23/($I$2-D23)</f>
        <v>70.9981481481482</v>
      </c>
      <c r="G23" s="9" t="n">
        <f aca="false">D23/C23</f>
        <v>0.00756409922011529</v>
      </c>
    </row>
    <row r="24" customFormat="false" ht="15" hidden="false" customHeight="false" outlineLevel="0" collapsed="false">
      <c r="A24" s="24" t="n">
        <v>23</v>
      </c>
      <c r="B24" s="24" t="s">
        <v>74</v>
      </c>
      <c r="C24" s="25" t="n">
        <v>37573</v>
      </c>
      <c r="D24" s="25" t="n">
        <v>329</v>
      </c>
      <c r="E24" s="1" t="n">
        <f aca="false">$I$2-D24</f>
        <v>501</v>
      </c>
      <c r="F24" s="7" t="n">
        <f aca="false">C24/($I$2-D24)</f>
        <v>74.9960079840319</v>
      </c>
      <c r="G24" s="9" t="n">
        <f aca="false">D24/C24</f>
        <v>0.00875628775982754</v>
      </c>
    </row>
    <row r="25" customFormat="false" ht="15" hidden="false" customHeight="false" outlineLevel="0" collapsed="false">
      <c r="A25" s="24" t="n">
        <v>24</v>
      </c>
      <c r="B25" s="24" t="s">
        <v>83</v>
      </c>
      <c r="C25" s="25" t="n">
        <v>36900</v>
      </c>
      <c r="D25" s="25" t="n">
        <v>361</v>
      </c>
      <c r="E25" s="1" t="n">
        <f aca="false">$I$2-D25</f>
        <v>469</v>
      </c>
      <c r="F25" s="7" t="n">
        <f aca="false">C25/($I$2-D25)</f>
        <v>78.6780383795309</v>
      </c>
      <c r="G25" s="9" t="n">
        <f aca="false">D25/C25</f>
        <v>0.00978319783197832</v>
      </c>
    </row>
    <row r="26" customFormat="false" ht="15" hidden="false" customHeight="false" outlineLevel="0" collapsed="false">
      <c r="A26" s="24" t="n">
        <v>25</v>
      </c>
      <c r="B26" s="24" t="s">
        <v>79</v>
      </c>
      <c r="C26" s="25" t="n">
        <v>37212</v>
      </c>
      <c r="D26" s="25" t="n">
        <v>347</v>
      </c>
      <c r="E26" s="1" t="n">
        <f aca="false">$I$2-D26</f>
        <v>483</v>
      </c>
      <c r="F26" s="7" t="n">
        <f aca="false">C26/($I$2-D26)</f>
        <v>77.0434782608696</v>
      </c>
      <c r="G26" s="9" t="n">
        <f aca="false">D26/C26</f>
        <v>0.00932494894120176</v>
      </c>
    </row>
    <row r="27" customFormat="false" ht="15" hidden="false" customHeight="false" outlineLevel="0" collapsed="false">
      <c r="A27" s="24" t="n">
        <v>26</v>
      </c>
      <c r="B27" s="24" t="s">
        <v>72</v>
      </c>
      <c r="C27" s="25" t="n">
        <v>37840</v>
      </c>
      <c r="D27" s="25" t="n">
        <v>307</v>
      </c>
      <c r="E27" s="1" t="n">
        <f aca="false">$I$2-D27</f>
        <v>523</v>
      </c>
      <c r="F27" s="7" t="n">
        <f aca="false">C27/($I$2-D27)</f>
        <v>72.3518164435946</v>
      </c>
      <c r="G27" s="9" t="n">
        <f aca="false">D27/C27</f>
        <v>0.00811310782241015</v>
      </c>
    </row>
    <row r="28" customFormat="false" ht="15" hidden="false" customHeight="false" outlineLevel="0" collapsed="false">
      <c r="A28" s="24" t="n">
        <v>27</v>
      </c>
      <c r="B28" s="24" t="s">
        <v>38</v>
      </c>
      <c r="C28" s="25" t="n">
        <v>38695</v>
      </c>
      <c r="D28" s="25" t="n">
        <v>263</v>
      </c>
      <c r="E28" s="1" t="n">
        <f aca="false">$I$2-D28</f>
        <v>567</v>
      </c>
      <c r="F28" s="7" t="n">
        <f aca="false">C28/($I$2-D28)</f>
        <v>68.2451499118166</v>
      </c>
      <c r="G28" s="9" t="n">
        <f aca="false">D28/C28</f>
        <v>0.00679674376534436</v>
      </c>
    </row>
    <row r="29" customFormat="false" ht="15" hidden="false" customHeight="false" outlineLevel="0" collapsed="false">
      <c r="A29" s="24" t="n">
        <v>28</v>
      </c>
      <c r="B29" s="24" t="s">
        <v>10</v>
      </c>
      <c r="C29" s="25" t="n">
        <v>38827</v>
      </c>
      <c r="D29" s="25" t="n">
        <v>250</v>
      </c>
      <c r="E29" s="1" t="n">
        <f aca="false">$I$2-D29</f>
        <v>580</v>
      </c>
      <c r="F29" s="7" t="n">
        <f aca="false">C29/($I$2-D29)</f>
        <v>66.9431034482759</v>
      </c>
      <c r="G29" s="9" t="n">
        <f aca="false">D29/C29</f>
        <v>0.00643881834805677</v>
      </c>
    </row>
    <row r="30" customFormat="false" ht="15" hidden="false" customHeight="false" outlineLevel="0" collapsed="false">
      <c r="A30" s="24" t="n">
        <v>29</v>
      </c>
      <c r="B30" s="24" t="s">
        <v>18</v>
      </c>
      <c r="C30" s="25" t="n">
        <v>38684</v>
      </c>
      <c r="D30" s="25" t="n">
        <v>255</v>
      </c>
      <c r="E30" s="1" t="n">
        <f aca="false">$I$2-D30</f>
        <v>575</v>
      </c>
      <c r="F30" s="7" t="n">
        <f aca="false">C30/($I$2-D30)</f>
        <v>67.2765217391304</v>
      </c>
      <c r="G30" s="9" t="n">
        <f aca="false">D30/C30</f>
        <v>0.00659187260883052</v>
      </c>
    </row>
    <row r="31" customFormat="false" ht="15" hidden="false" customHeight="false" outlineLevel="0" collapsed="false">
      <c r="A31" s="24" t="n">
        <v>30</v>
      </c>
      <c r="B31" s="24" t="s">
        <v>28</v>
      </c>
      <c r="C31" s="25" t="n">
        <v>38681</v>
      </c>
      <c r="D31" s="25" t="n">
        <v>260</v>
      </c>
      <c r="E31" s="1" t="n">
        <f aca="false">$I$2-D31</f>
        <v>570</v>
      </c>
      <c r="F31" s="7" t="n">
        <f aca="false">C31/($I$2-D31)</f>
        <v>67.8614035087719</v>
      </c>
      <c r="G31" s="9" t="n">
        <f aca="false">D31/C31</f>
        <v>0.00672164628629043</v>
      </c>
    </row>
    <row r="32" customFormat="false" ht="15" hidden="false" customHeight="false" outlineLevel="0" collapsed="false">
      <c r="A32" s="24" t="n">
        <v>31</v>
      </c>
      <c r="B32" s="24" t="s">
        <v>43</v>
      </c>
      <c r="C32" s="25" t="n">
        <v>38774</v>
      </c>
      <c r="D32" s="25" t="n">
        <v>265</v>
      </c>
      <c r="E32" s="1" t="n">
        <f aca="false">$I$2-D32</f>
        <v>565</v>
      </c>
      <c r="F32" s="7" t="n">
        <f aca="false">C32/($I$2-D32)</f>
        <v>68.6265486725664</v>
      </c>
      <c r="G32" s="9" t="n">
        <f aca="false">D32/C32</f>
        <v>0.00683447671119823</v>
      </c>
    </row>
    <row r="33" customFormat="false" ht="15" hidden="false" customHeight="false" outlineLevel="0" collapsed="false">
      <c r="A33" s="24" t="n">
        <v>32</v>
      </c>
      <c r="B33" s="24" t="s">
        <v>59</v>
      </c>
      <c r="C33" s="25" t="n">
        <v>38686</v>
      </c>
      <c r="D33" s="25" t="n">
        <v>274</v>
      </c>
      <c r="E33" s="1" t="n">
        <f aca="false">$I$2-D33</f>
        <v>556</v>
      </c>
      <c r="F33" s="7" t="n">
        <f aca="false">C33/($I$2-D33)</f>
        <v>69.5791366906475</v>
      </c>
      <c r="G33" s="9" t="n">
        <f aca="false">D33/C33</f>
        <v>0.00708266556376984</v>
      </c>
    </row>
    <row r="34" customFormat="false" ht="15" hidden="false" customHeight="false" outlineLevel="0" collapsed="false">
      <c r="A34" s="24" t="n">
        <v>33</v>
      </c>
      <c r="B34" s="24" t="s">
        <v>66</v>
      </c>
      <c r="C34" s="25" t="n">
        <v>38295</v>
      </c>
      <c r="D34" s="25" t="n">
        <v>291</v>
      </c>
      <c r="E34" s="1" t="n">
        <f aca="false">$I$2-D34</f>
        <v>539</v>
      </c>
      <c r="F34" s="7" t="n">
        <f aca="false">C34/($I$2-D34)</f>
        <v>71.0482374768089</v>
      </c>
      <c r="G34" s="9" t="n">
        <f aca="false">D34/C34</f>
        <v>0.00759890325107716</v>
      </c>
    </row>
    <row r="35" customFormat="false" ht="15" hidden="false" customHeight="false" outlineLevel="0" collapsed="false">
      <c r="A35" s="24" t="n">
        <v>34</v>
      </c>
      <c r="B35" s="24" t="s">
        <v>77</v>
      </c>
      <c r="C35" s="25" t="n">
        <v>37267</v>
      </c>
      <c r="D35" s="25" t="n">
        <v>347</v>
      </c>
      <c r="E35" s="1" t="n">
        <f aca="false">$I$2-D35</f>
        <v>483</v>
      </c>
      <c r="F35" s="7" t="n">
        <f aca="false">C35/($I$2-D35)</f>
        <v>77.1573498964803</v>
      </c>
      <c r="G35" s="9" t="n">
        <f aca="false">D35/C35</f>
        <v>0.00931118684090482</v>
      </c>
    </row>
    <row r="36" customFormat="false" ht="15" hidden="false" customHeight="false" outlineLevel="0" collapsed="false">
      <c r="A36" s="24" t="n">
        <v>35</v>
      </c>
      <c r="B36" s="24" t="s">
        <v>85</v>
      </c>
      <c r="C36" s="25" t="n">
        <v>36072</v>
      </c>
      <c r="D36" s="25" t="n">
        <v>405</v>
      </c>
      <c r="E36" s="1" t="n">
        <f aca="false">$I$2-D36</f>
        <v>425</v>
      </c>
      <c r="F36" s="7" t="n">
        <f aca="false">C36/($I$2-D36)</f>
        <v>84.8752941176471</v>
      </c>
      <c r="G36" s="9" t="n">
        <f aca="false">D36/C36</f>
        <v>0.0112275449101796</v>
      </c>
    </row>
    <row r="37" customFormat="false" ht="15" hidden="false" customHeight="false" outlineLevel="0" collapsed="false">
      <c r="A37" s="24" t="n">
        <v>36</v>
      </c>
      <c r="B37" s="24" t="s">
        <v>89</v>
      </c>
      <c r="C37" s="25" t="n">
        <v>35497</v>
      </c>
      <c r="D37" s="25" t="n">
        <v>425</v>
      </c>
      <c r="E37" s="1" t="n">
        <f aca="false">$I$2-D37</f>
        <v>405</v>
      </c>
      <c r="F37" s="7" t="n">
        <f aca="false">C37/($I$2-D37)</f>
        <v>87.6469135802469</v>
      </c>
      <c r="G37" s="9" t="n">
        <f aca="false">D37/C37</f>
        <v>0.0119728427754458</v>
      </c>
    </row>
    <row r="38" customFormat="false" ht="15" hidden="false" customHeight="false" outlineLevel="0" collapsed="false">
      <c r="A38" s="24" t="n">
        <v>37</v>
      </c>
      <c r="B38" s="24" t="s">
        <v>84</v>
      </c>
      <c r="C38" s="25" t="n">
        <v>36191</v>
      </c>
      <c r="D38" s="25" t="n">
        <v>390</v>
      </c>
      <c r="E38" s="1" t="n">
        <f aca="false">$I$2-D38</f>
        <v>440</v>
      </c>
      <c r="F38" s="7" t="n">
        <f aca="false">C38/($I$2-D38)</f>
        <v>82.2522727272727</v>
      </c>
      <c r="G38" s="9" t="n">
        <f aca="false">D38/C38</f>
        <v>0.0107761598187395</v>
      </c>
    </row>
    <row r="39" customFormat="false" ht="15" hidden="false" customHeight="false" outlineLevel="0" collapsed="false">
      <c r="A39" s="24" t="n">
        <v>38</v>
      </c>
      <c r="B39" s="24" t="s">
        <v>73</v>
      </c>
      <c r="C39" s="25" t="n">
        <v>37512</v>
      </c>
      <c r="D39" s="25" t="n">
        <v>316</v>
      </c>
      <c r="E39" s="1" t="n">
        <f aca="false">$I$2-D39</f>
        <v>514</v>
      </c>
      <c r="F39" s="7" t="n">
        <f aca="false">C39/($I$2-D39)</f>
        <v>72.9805447470817</v>
      </c>
      <c r="G39" s="9" t="n">
        <f aca="false">D39/C39</f>
        <v>0.00842397099594796</v>
      </c>
    </row>
    <row r="40" customFormat="false" ht="15" hidden="false" customHeight="false" outlineLevel="0" collapsed="false">
      <c r="A40" s="24" t="n">
        <v>39</v>
      </c>
      <c r="B40" s="24" t="s">
        <v>34</v>
      </c>
      <c r="C40" s="25" t="n">
        <v>38602</v>
      </c>
      <c r="D40" s="25" t="n">
        <v>262</v>
      </c>
      <c r="E40" s="1" t="n">
        <f aca="false">$I$2-D40</f>
        <v>568</v>
      </c>
      <c r="F40" s="7" t="n">
        <f aca="false">C40/($I$2-D40)</f>
        <v>67.9612676056338</v>
      </c>
      <c r="G40" s="9" t="n">
        <f aca="false">D40/C40</f>
        <v>0.00678721309776696</v>
      </c>
    </row>
    <row r="41" customFormat="false" ht="15" hidden="false" customHeight="false" outlineLevel="0" collapsed="false">
      <c r="A41" s="24" t="n">
        <v>40</v>
      </c>
      <c r="B41" s="24" t="s">
        <v>12</v>
      </c>
      <c r="C41" s="25" t="n">
        <v>38816</v>
      </c>
      <c r="D41" s="25" t="n">
        <v>250</v>
      </c>
      <c r="E41" s="1" t="n">
        <f aca="false">$I$2-D41</f>
        <v>580</v>
      </c>
      <c r="F41" s="7" t="n">
        <f aca="false">C41/($I$2-D41)</f>
        <v>66.9241379310345</v>
      </c>
      <c r="G41" s="9" t="n">
        <f aca="false">D41/C41</f>
        <v>0.0064406430338005</v>
      </c>
    </row>
    <row r="42" customFormat="false" ht="15" hidden="false" customHeight="false" outlineLevel="0" collapsed="false">
      <c r="A42" s="24" t="n">
        <v>41</v>
      </c>
      <c r="B42" s="24" t="s">
        <v>14</v>
      </c>
      <c r="C42" s="25" t="n">
        <v>38627</v>
      </c>
      <c r="D42" s="25" t="n">
        <v>252</v>
      </c>
      <c r="E42" s="1" t="n">
        <f aca="false">$I$2-D42</f>
        <v>578</v>
      </c>
      <c r="F42" s="7" t="n">
        <f aca="false">C42/($I$2-D42)</f>
        <v>66.8287197231834</v>
      </c>
      <c r="G42" s="9" t="n">
        <f aca="false">D42/C42</f>
        <v>0.00652393403577808</v>
      </c>
    </row>
    <row r="43" customFormat="false" ht="15" hidden="false" customHeight="false" outlineLevel="0" collapsed="false">
      <c r="A43" s="24" t="n">
        <v>42</v>
      </c>
      <c r="B43" s="24" t="s">
        <v>42</v>
      </c>
      <c r="C43" s="25" t="n">
        <v>38647</v>
      </c>
      <c r="D43" s="25" t="n">
        <v>263</v>
      </c>
      <c r="E43" s="1" t="n">
        <f aca="false">$I$2-D43</f>
        <v>567</v>
      </c>
      <c r="F43" s="7" t="n">
        <f aca="false">C43/($I$2-D43)</f>
        <v>68.1604938271605</v>
      </c>
      <c r="G43" s="9" t="n">
        <f aca="false">D43/C43</f>
        <v>0.00680518539602039</v>
      </c>
    </row>
    <row r="44" customFormat="false" ht="15" hidden="false" customHeight="false" outlineLevel="0" collapsed="false">
      <c r="A44" s="24" t="n">
        <v>43</v>
      </c>
      <c r="B44" s="24" t="s">
        <v>62</v>
      </c>
      <c r="C44" s="25" t="n">
        <v>38675</v>
      </c>
      <c r="D44" s="25" t="n">
        <v>275</v>
      </c>
      <c r="E44" s="1" t="n">
        <f aca="false">$I$2-D44</f>
        <v>555</v>
      </c>
      <c r="F44" s="7" t="n">
        <f aca="false">C44/($I$2-D44)</f>
        <v>69.6846846846847</v>
      </c>
      <c r="G44" s="9" t="n">
        <f aca="false">D44/C44</f>
        <v>0.00711053652230123</v>
      </c>
    </row>
    <row r="45" customFormat="false" ht="15" hidden="false" customHeight="false" outlineLevel="0" collapsed="false">
      <c r="A45" s="24" t="n">
        <v>44</v>
      </c>
      <c r="B45" s="24" t="s">
        <v>67</v>
      </c>
      <c r="C45" s="25" t="n">
        <v>38314</v>
      </c>
      <c r="D45" s="25" t="n">
        <v>292</v>
      </c>
      <c r="E45" s="1" t="n">
        <f aca="false">$I$2-D45</f>
        <v>538</v>
      </c>
      <c r="F45" s="7" t="n">
        <f aca="false">C45/($I$2-D45)</f>
        <v>71.2156133828996</v>
      </c>
      <c r="G45" s="9" t="n">
        <f aca="false">D45/C45</f>
        <v>0.00762123505768127</v>
      </c>
    </row>
    <row r="46" customFormat="false" ht="15" hidden="false" customHeight="false" outlineLevel="0" collapsed="false">
      <c r="A46" s="24" t="n">
        <v>45</v>
      </c>
      <c r="B46" s="24" t="s">
        <v>78</v>
      </c>
      <c r="C46" s="25" t="n">
        <v>37260</v>
      </c>
      <c r="D46" s="25" t="n">
        <v>347</v>
      </c>
      <c r="E46" s="1" t="n">
        <f aca="false">$I$2-D46</f>
        <v>483</v>
      </c>
      <c r="F46" s="7" t="n">
        <f aca="false">C46/($I$2-D46)</f>
        <v>77.1428571428571</v>
      </c>
      <c r="G46" s="9" t="n">
        <f aca="false">D46/C46</f>
        <v>0.00931293612453033</v>
      </c>
    </row>
    <row r="47" customFormat="false" ht="15" hidden="false" customHeight="false" outlineLevel="0" collapsed="false">
      <c r="A47" s="24" t="n">
        <v>46</v>
      </c>
      <c r="B47" s="24" t="s">
        <v>88</v>
      </c>
      <c r="C47" s="25" t="n">
        <v>35709</v>
      </c>
      <c r="D47" s="25" t="n">
        <v>427</v>
      </c>
      <c r="E47" s="1" t="n">
        <f aca="false">$I$2-D47</f>
        <v>403</v>
      </c>
      <c r="F47" s="7" t="n">
        <f aca="false">C47/($I$2-D47)</f>
        <v>88.6079404466501</v>
      </c>
      <c r="G47" s="9" t="n">
        <f aca="false">D47/C47</f>
        <v>0.011957769749923</v>
      </c>
    </row>
    <row r="48" customFormat="false" ht="15" hidden="false" customHeight="false" outlineLevel="0" collapsed="false">
      <c r="A48" s="24" t="n">
        <v>47</v>
      </c>
      <c r="B48" s="24" t="s">
        <v>95</v>
      </c>
      <c r="C48" s="25" t="n">
        <v>34459</v>
      </c>
      <c r="D48" s="25" t="n">
        <v>484</v>
      </c>
      <c r="E48" s="1" t="n">
        <f aca="false">$I$2-D48</f>
        <v>346</v>
      </c>
      <c r="F48" s="7" t="n">
        <f aca="false">C48/($I$2-D48)</f>
        <v>99.592485549133</v>
      </c>
      <c r="G48" s="9" t="n">
        <f aca="false">D48/C48</f>
        <v>0.0140456774717781</v>
      </c>
    </row>
    <row r="49" customFormat="false" ht="15" hidden="false" customHeight="false" outlineLevel="0" collapsed="false">
      <c r="A49" s="24" t="n">
        <v>48</v>
      </c>
      <c r="B49" s="24" t="s">
        <v>97</v>
      </c>
      <c r="C49" s="25" t="n">
        <v>33955</v>
      </c>
      <c r="D49" s="25" t="n">
        <v>504</v>
      </c>
      <c r="E49" s="1" t="n">
        <f aca="false">$I$2-D49</f>
        <v>326</v>
      </c>
      <c r="F49" s="7" t="n">
        <f aca="false">C49/($I$2-D49)</f>
        <v>104.156441717791</v>
      </c>
      <c r="G49" s="9" t="n">
        <f aca="false">D49/C49</f>
        <v>0.0148431747901635</v>
      </c>
    </row>
    <row r="50" customFormat="false" ht="15" hidden="false" customHeight="false" outlineLevel="0" collapsed="false">
      <c r="A50" s="24" t="n">
        <v>49</v>
      </c>
      <c r="B50" s="24" t="s">
        <v>91</v>
      </c>
      <c r="C50" s="25" t="n">
        <v>35278</v>
      </c>
      <c r="D50" s="25" t="n">
        <v>429</v>
      </c>
      <c r="E50" s="1" t="n">
        <f aca="false">$I$2-D50</f>
        <v>401</v>
      </c>
      <c r="F50" s="7" t="n">
        <f aca="false">C50/($I$2-D50)</f>
        <v>87.9750623441396</v>
      </c>
      <c r="G50" s="9" t="n">
        <f aca="false">D50/C50</f>
        <v>0.0121605533193492</v>
      </c>
    </row>
    <row r="51" customFormat="false" ht="15" hidden="false" customHeight="false" outlineLevel="0" collapsed="false">
      <c r="A51" s="24" t="n">
        <v>50</v>
      </c>
      <c r="B51" s="24" t="s">
        <v>75</v>
      </c>
      <c r="C51" s="25" t="n">
        <v>37103</v>
      </c>
      <c r="D51" s="25" t="n">
        <v>329</v>
      </c>
      <c r="E51" s="1" t="n">
        <f aca="false">$I$2-D51</f>
        <v>501</v>
      </c>
      <c r="F51" s="7" t="n">
        <f aca="false">C51/($I$2-D51)</f>
        <v>74.0578842315369</v>
      </c>
      <c r="G51" s="9" t="n">
        <f aca="false">D51/C51</f>
        <v>0.00886720750343638</v>
      </c>
    </row>
    <row r="52" customFormat="false" ht="15" hidden="false" customHeight="false" outlineLevel="0" collapsed="false">
      <c r="A52" s="24" t="n">
        <v>51</v>
      </c>
      <c r="B52" s="24" t="s">
        <v>39</v>
      </c>
      <c r="C52" s="25" t="n">
        <v>38511</v>
      </c>
      <c r="D52" s="25" t="n">
        <v>262</v>
      </c>
      <c r="E52" s="1" t="n">
        <f aca="false">$I$2-D52</f>
        <v>568</v>
      </c>
      <c r="F52" s="7" t="n">
        <f aca="false">C52/($I$2-D52)</f>
        <v>67.8010563380282</v>
      </c>
      <c r="G52" s="9" t="n">
        <f aca="false">D52/C52</f>
        <v>0.00680325101918932</v>
      </c>
    </row>
    <row r="53" customFormat="false" ht="15" hidden="false" customHeight="false" outlineLevel="0" collapsed="false">
      <c r="A53" s="24" t="n">
        <v>52</v>
      </c>
      <c r="B53" s="24" t="s">
        <v>8</v>
      </c>
      <c r="C53" s="25" t="n">
        <v>38739</v>
      </c>
      <c r="D53" s="25" t="n">
        <v>249</v>
      </c>
      <c r="E53" s="1" t="n">
        <f aca="false">$I$2-D53</f>
        <v>581</v>
      </c>
      <c r="F53" s="7" t="n">
        <f aca="false">C53/($I$2-D53)</f>
        <v>66.6764199655766</v>
      </c>
      <c r="G53" s="9" t="n">
        <f aca="false">D53/C53</f>
        <v>0.00642763106946488</v>
      </c>
    </row>
    <row r="54" customFormat="false" ht="15" hidden="false" customHeight="false" outlineLevel="0" collapsed="false">
      <c r="A54" s="24" t="n">
        <v>53</v>
      </c>
      <c r="B54" s="24" t="s">
        <v>16</v>
      </c>
      <c r="C54" s="25" t="n">
        <v>38542</v>
      </c>
      <c r="D54" s="25" t="n">
        <v>254</v>
      </c>
      <c r="E54" s="1" t="n">
        <f aca="false">$I$2-D54</f>
        <v>576</v>
      </c>
      <c r="F54" s="7" t="n">
        <f aca="false">C54/($I$2-D54)</f>
        <v>66.9131944444444</v>
      </c>
      <c r="G54" s="9" t="n">
        <f aca="false">D54/C54</f>
        <v>0.00659021327383115</v>
      </c>
    </row>
    <row r="55" customFormat="false" ht="15" hidden="false" customHeight="false" outlineLevel="0" collapsed="false">
      <c r="A55" s="24" t="n">
        <v>54</v>
      </c>
      <c r="B55" s="24" t="s">
        <v>56</v>
      </c>
      <c r="C55" s="25" t="n">
        <v>38437</v>
      </c>
      <c r="D55" s="25" t="n">
        <v>267</v>
      </c>
      <c r="E55" s="1" t="n">
        <f aca="false">$I$2-D55</f>
        <v>563</v>
      </c>
      <c r="F55" s="7" t="n">
        <f aca="false">C55/($I$2-D55)</f>
        <v>68.2717584369449</v>
      </c>
      <c r="G55" s="9" t="n">
        <f aca="false">D55/C55</f>
        <v>0.0069464318235034</v>
      </c>
    </row>
    <row r="56" customFormat="false" ht="15" hidden="false" customHeight="false" outlineLevel="0" collapsed="false">
      <c r="A56" s="24" t="n">
        <v>55</v>
      </c>
      <c r="B56" s="24" t="s">
        <v>68</v>
      </c>
      <c r="C56" s="25" t="n">
        <v>38279</v>
      </c>
      <c r="D56" s="25" t="n">
        <v>292</v>
      </c>
      <c r="E56" s="1" t="n">
        <f aca="false">$I$2-D56</f>
        <v>538</v>
      </c>
      <c r="F56" s="7" t="n">
        <f aca="false">C56/($I$2-D56)</f>
        <v>71.1505576208179</v>
      </c>
      <c r="G56" s="9" t="n">
        <f aca="false">D56/C56</f>
        <v>0.00762820345359074</v>
      </c>
    </row>
    <row r="57" customFormat="false" ht="15" hidden="false" customHeight="false" outlineLevel="0" collapsed="false">
      <c r="A57" s="24" t="n">
        <v>56</v>
      </c>
      <c r="B57" s="24" t="s">
        <v>76</v>
      </c>
      <c r="C57" s="25" t="n">
        <v>37282</v>
      </c>
      <c r="D57" s="25" t="n">
        <v>343</v>
      </c>
      <c r="E57" s="1" t="n">
        <f aca="false">$I$2-D57</f>
        <v>487</v>
      </c>
      <c r="F57" s="7" t="n">
        <f aca="false">C57/($I$2-D57)</f>
        <v>76.5544147843943</v>
      </c>
      <c r="G57" s="9" t="n">
        <f aca="false">D57/C57</f>
        <v>0.00920015020653399</v>
      </c>
    </row>
    <row r="58" customFormat="false" ht="15" hidden="false" customHeight="false" outlineLevel="0" collapsed="false">
      <c r="A58" s="24" t="n">
        <v>57</v>
      </c>
      <c r="B58" s="24" t="s">
        <v>86</v>
      </c>
      <c r="C58" s="25" t="n">
        <v>35687</v>
      </c>
      <c r="D58" s="25" t="n">
        <v>423</v>
      </c>
      <c r="E58" s="1" t="n">
        <f aca="false">$I$2-D58</f>
        <v>407</v>
      </c>
      <c r="F58" s="7" t="n">
        <f aca="false">C58/($I$2-D58)</f>
        <v>87.6830466830467</v>
      </c>
      <c r="G58" s="9" t="n">
        <f aca="false">D58/C58</f>
        <v>0.0118530557345812</v>
      </c>
    </row>
    <row r="59" customFormat="false" ht="15" hidden="false" customHeight="false" outlineLevel="0" collapsed="false">
      <c r="A59" s="24" t="n">
        <v>58</v>
      </c>
      <c r="B59" s="24" t="s">
        <v>98</v>
      </c>
      <c r="C59" s="25" t="n">
        <v>33924</v>
      </c>
      <c r="D59" s="25" t="n">
        <v>507</v>
      </c>
      <c r="E59" s="1" t="n">
        <f aca="false">$I$2-D59</f>
        <v>323</v>
      </c>
      <c r="F59" s="7" t="n">
        <f aca="false">C59/($I$2-D59)</f>
        <v>105.02786377709</v>
      </c>
      <c r="G59" s="9" t="n">
        <f aca="false">D59/C59</f>
        <v>0.0149451715599576</v>
      </c>
    </row>
    <row r="60" customFormat="false" ht="15" hidden="false" customHeight="false" outlineLevel="0" collapsed="false">
      <c r="A60" s="24" t="n">
        <v>59</v>
      </c>
      <c r="B60" s="24" t="s">
        <v>104</v>
      </c>
      <c r="C60" s="25" t="n">
        <v>32596</v>
      </c>
      <c r="D60" s="25" t="n">
        <v>569</v>
      </c>
      <c r="E60" s="1" t="n">
        <f aca="false">$I$2-D60</f>
        <v>261</v>
      </c>
      <c r="F60" s="7" t="n">
        <f aca="false">C60/($I$2-D60)</f>
        <v>124.888888888889</v>
      </c>
      <c r="G60" s="9" t="n">
        <f aca="false">D60/C60</f>
        <v>0.0174561295864523</v>
      </c>
    </row>
    <row r="61" customFormat="false" ht="15" hidden="false" customHeight="false" outlineLevel="0" collapsed="false">
      <c r="A61" s="24" t="n">
        <v>60</v>
      </c>
      <c r="B61" s="24" t="s">
        <v>105</v>
      </c>
      <c r="C61" s="25" t="n">
        <v>32566</v>
      </c>
      <c r="D61" s="25" t="n">
        <v>569</v>
      </c>
      <c r="E61" s="1" t="n">
        <f aca="false">$I$2-D61</f>
        <v>261</v>
      </c>
      <c r="F61" s="7" t="n">
        <f aca="false">C61/($I$2-D61)</f>
        <v>124.773946360153</v>
      </c>
      <c r="G61" s="9" t="n">
        <f aca="false">D61/C61</f>
        <v>0.0174722102806608</v>
      </c>
    </row>
    <row r="62" customFormat="false" ht="15" hidden="false" customHeight="false" outlineLevel="0" collapsed="false">
      <c r="A62" s="24" t="n">
        <v>61</v>
      </c>
      <c r="B62" s="24" t="s">
        <v>94</v>
      </c>
      <c r="C62" s="25" t="n">
        <v>34339</v>
      </c>
      <c r="D62" s="25" t="n">
        <v>472</v>
      </c>
      <c r="E62" s="1" t="n">
        <f aca="false">$I$2-D62</f>
        <v>358</v>
      </c>
      <c r="F62" s="7" t="n">
        <f aca="false">C62/($I$2-D62)</f>
        <v>95.9189944134078</v>
      </c>
      <c r="G62" s="9" t="n">
        <f aca="false">D62/C62</f>
        <v>0.0137453041730976</v>
      </c>
    </row>
    <row r="63" customFormat="false" ht="15" hidden="false" customHeight="false" outlineLevel="0" collapsed="false">
      <c r="A63" s="24" t="n">
        <v>62</v>
      </c>
      <c r="B63" s="24" t="s">
        <v>82</v>
      </c>
      <c r="C63" s="25" t="n">
        <v>35052</v>
      </c>
      <c r="D63" s="25" t="n">
        <v>340</v>
      </c>
      <c r="E63" s="1" t="n">
        <f aca="false">$I$2-D63</f>
        <v>490</v>
      </c>
      <c r="F63" s="7" t="n">
        <f aca="false">C63/($I$2-D63)</f>
        <v>71.534693877551</v>
      </c>
      <c r="G63" s="9" t="n">
        <f aca="false">D63/C63</f>
        <v>0.00969987447221271</v>
      </c>
    </row>
    <row r="64" customFormat="false" ht="15" hidden="false" customHeight="false" outlineLevel="0" collapsed="false">
      <c r="A64" s="24" t="n">
        <v>63</v>
      </c>
      <c r="B64" s="24" t="s">
        <v>47</v>
      </c>
      <c r="C64" s="25" t="n">
        <v>36550</v>
      </c>
      <c r="D64" s="25" t="n">
        <v>265</v>
      </c>
      <c r="E64" s="1" t="n">
        <f aca="false">$I$2-D64</f>
        <v>565</v>
      </c>
      <c r="F64" s="7" t="n">
        <f aca="false">C64/($I$2-D64)</f>
        <v>64.6902654867257</v>
      </c>
      <c r="G64" s="9" t="n">
        <f aca="false">D64/C64</f>
        <v>0.00725034199726402</v>
      </c>
    </row>
    <row r="65" customFormat="false" ht="15" hidden="false" customHeight="false" outlineLevel="0" collapsed="false">
      <c r="A65" s="24" t="n">
        <v>64</v>
      </c>
      <c r="B65" s="24" t="s">
        <v>6</v>
      </c>
      <c r="C65" s="25" t="n">
        <v>36842</v>
      </c>
      <c r="D65" s="25" t="n">
        <v>247</v>
      </c>
      <c r="E65" s="1" t="n">
        <f aca="false">$I$2-D65</f>
        <v>583</v>
      </c>
      <c r="F65" s="7" t="n">
        <f aca="false">C65/($I$2-D65)</f>
        <v>63.1938250428817</v>
      </c>
      <c r="G65" s="9" t="n">
        <f aca="false">D65/C65</f>
        <v>0.00670430486944248</v>
      </c>
    </row>
    <row r="66" customFormat="false" ht="15" hidden="false" customHeight="false" outlineLevel="0" collapsed="false">
      <c r="A66" s="24" t="n">
        <v>65</v>
      </c>
      <c r="B66" s="24" t="s">
        <v>31</v>
      </c>
      <c r="C66" s="25" t="n">
        <v>36443</v>
      </c>
      <c r="D66" s="25" t="n">
        <v>261</v>
      </c>
      <c r="E66" s="1" t="n">
        <f aca="false">$I$2-D66</f>
        <v>569</v>
      </c>
      <c r="F66" s="7" t="n">
        <f aca="false">C66/($I$2-D66)</f>
        <v>64.0474516695958</v>
      </c>
      <c r="G66" s="9" t="n">
        <f aca="false">D66/C66</f>
        <v>0.00716186922042642</v>
      </c>
    </row>
    <row r="67" customFormat="false" ht="15" hidden="false" customHeight="false" outlineLevel="0" collapsed="false">
      <c r="A67" s="24" t="n">
        <v>66</v>
      </c>
      <c r="B67" s="24" t="s">
        <v>54</v>
      </c>
      <c r="C67" s="25" t="n">
        <v>36591</v>
      </c>
      <c r="D67" s="25" t="n">
        <v>282</v>
      </c>
      <c r="E67" s="1" t="n">
        <f aca="false">$I$2-D67</f>
        <v>548</v>
      </c>
      <c r="F67" s="7" t="n">
        <f aca="false">C67/($I$2-D67)</f>
        <v>66.771897810219</v>
      </c>
      <c r="G67" s="9" t="n">
        <f aca="false">D67/C67</f>
        <v>0.00770681315077478</v>
      </c>
    </row>
    <row r="68" customFormat="false" ht="15" hidden="false" customHeight="false" outlineLevel="0" collapsed="false">
      <c r="A68" s="24" t="n">
        <v>67</v>
      </c>
      <c r="B68" s="24" t="s">
        <v>80</v>
      </c>
      <c r="C68" s="25" t="n">
        <v>36074</v>
      </c>
      <c r="D68" s="25" t="n">
        <v>338</v>
      </c>
      <c r="E68" s="1" t="n">
        <f aca="false">$I$2-D68</f>
        <v>492</v>
      </c>
      <c r="F68" s="7" t="n">
        <f aca="false">C68/($I$2-D68)</f>
        <v>73.3211382113821</v>
      </c>
      <c r="G68" s="9" t="n">
        <f aca="false">D68/C68</f>
        <v>0.00936962909574763</v>
      </c>
    </row>
    <row r="69" customFormat="false" ht="15" hidden="false" customHeight="false" outlineLevel="0" collapsed="false">
      <c r="A69" s="24" t="n">
        <v>68</v>
      </c>
      <c r="B69" s="24" t="s">
        <v>90</v>
      </c>
      <c r="C69" s="25" t="n">
        <v>34695</v>
      </c>
      <c r="D69" s="25" t="n">
        <v>420</v>
      </c>
      <c r="E69" s="1" t="n">
        <f aca="false">$I$2-D69</f>
        <v>410</v>
      </c>
      <c r="F69" s="7" t="n">
        <f aca="false">C69/($I$2-D69)</f>
        <v>84.6219512195122</v>
      </c>
      <c r="G69" s="9" t="n">
        <f aca="false">D69/C69</f>
        <v>0.0121054907047125</v>
      </c>
    </row>
    <row r="70" customFormat="false" ht="15" hidden="false" customHeight="false" outlineLevel="0" collapsed="false">
      <c r="A70" s="24" t="n">
        <v>69</v>
      </c>
      <c r="B70" s="24" t="s">
        <v>99</v>
      </c>
      <c r="C70" s="25" t="n">
        <v>33092</v>
      </c>
      <c r="D70" s="25" t="n">
        <v>500</v>
      </c>
      <c r="E70" s="1" t="n">
        <f aca="false">$I$2-D70</f>
        <v>330</v>
      </c>
      <c r="F70" s="7" t="n">
        <f aca="false">C70/($I$2-D70)</f>
        <v>100.278787878788</v>
      </c>
      <c r="G70" s="9" t="n">
        <f aca="false">D70/C70</f>
        <v>0.015109391998066</v>
      </c>
    </row>
    <row r="71" customFormat="false" ht="15" hidden="false" customHeight="false" outlineLevel="0" collapsed="false">
      <c r="A71" s="24" t="n">
        <v>70</v>
      </c>
      <c r="B71" s="24" t="s">
        <v>108</v>
      </c>
      <c r="C71" s="25" t="n">
        <v>31187</v>
      </c>
      <c r="D71" s="25" t="n">
        <v>594</v>
      </c>
      <c r="E71" s="1" t="n">
        <f aca="false">$I$2-D71</f>
        <v>236</v>
      </c>
      <c r="F71" s="7" t="n">
        <f aca="false">C71/($I$2-D71)</f>
        <v>132.148305084746</v>
      </c>
      <c r="G71" s="9" t="n">
        <f aca="false">D71/C71</f>
        <v>0.0190463975374355</v>
      </c>
    </row>
    <row r="72" customFormat="false" ht="15" hidden="false" customHeight="false" outlineLevel="0" collapsed="false">
      <c r="A72" s="24" t="n">
        <v>71</v>
      </c>
      <c r="B72" s="24" t="s">
        <v>113</v>
      </c>
      <c r="C72" s="25" t="n">
        <v>29973</v>
      </c>
      <c r="D72" s="25" t="n">
        <v>650</v>
      </c>
      <c r="E72" s="1" t="n">
        <f aca="false">$I$2-D72</f>
        <v>180</v>
      </c>
      <c r="F72" s="7" t="n">
        <f aca="false">C72/($I$2-D72)</f>
        <v>166.516666666667</v>
      </c>
      <c r="G72" s="9" t="n">
        <f aca="false">D72/C72</f>
        <v>0.0216861842324759</v>
      </c>
    </row>
    <row r="73" customFormat="false" ht="15" hidden="false" customHeight="false" outlineLevel="0" collapsed="false">
      <c r="A73" s="24" t="n">
        <v>72</v>
      </c>
      <c r="B73" s="24" t="s">
        <v>111</v>
      </c>
      <c r="C73" s="25" t="n">
        <v>29981</v>
      </c>
      <c r="D73" s="25" t="n">
        <v>625</v>
      </c>
      <c r="E73" s="1" t="n">
        <f aca="false">$I$2-D73</f>
        <v>205</v>
      </c>
      <c r="F73" s="7" t="n">
        <f aca="false">C73/($I$2-D73)</f>
        <v>146.248780487805</v>
      </c>
      <c r="G73" s="9" t="n">
        <f aca="false">D73/C73</f>
        <v>0.0208465361395551</v>
      </c>
    </row>
    <row r="74" customFormat="false" ht="15" hidden="false" customHeight="false" outlineLevel="0" collapsed="false">
      <c r="A74" s="24" t="n">
        <v>73</v>
      </c>
      <c r="B74" s="24" t="s">
        <v>101</v>
      </c>
      <c r="C74" s="25" t="n">
        <v>31862</v>
      </c>
      <c r="D74" s="25" t="n">
        <v>498</v>
      </c>
      <c r="E74" s="1" t="n">
        <f aca="false">$I$2-D74</f>
        <v>332</v>
      </c>
      <c r="F74" s="7" t="n">
        <f aca="false">C74/($I$2-D74)</f>
        <v>95.9698795180723</v>
      </c>
      <c r="G74" s="9" t="n">
        <f aca="false">D74/C74</f>
        <v>0.0156299039608311</v>
      </c>
    </row>
    <row r="75" customFormat="false" ht="15" hidden="false" customHeight="false" outlineLevel="0" collapsed="false">
      <c r="A75" s="24" t="n">
        <v>74</v>
      </c>
      <c r="B75" s="24" t="s">
        <v>49</v>
      </c>
      <c r="C75" s="25" t="n">
        <v>31987</v>
      </c>
      <c r="D75" s="25" t="n">
        <v>343</v>
      </c>
      <c r="E75" s="1" t="n">
        <f aca="false">$I$2-D75</f>
        <v>487</v>
      </c>
      <c r="F75" s="7" t="n">
        <f aca="false">C75/($I$2-D75)</f>
        <v>65.6817248459959</v>
      </c>
      <c r="G75" s="9" t="n">
        <f aca="false">D75/C75</f>
        <v>0.0107231062619189</v>
      </c>
    </row>
    <row r="76" customFormat="false" ht="15" hidden="false" customHeight="false" outlineLevel="0" collapsed="false">
      <c r="A76" s="24" t="n">
        <v>75</v>
      </c>
      <c r="B76" s="24" t="s">
        <v>35</v>
      </c>
      <c r="C76" s="25" t="n">
        <v>33506</v>
      </c>
      <c r="D76" s="25" t="n">
        <v>265</v>
      </c>
      <c r="E76" s="1" t="n">
        <f aca="false">$I$2-D76</f>
        <v>565</v>
      </c>
      <c r="F76" s="7" t="n">
        <f aca="false">C76/($I$2-D76)</f>
        <v>59.3026548672566</v>
      </c>
      <c r="G76" s="9" t="n">
        <f aca="false">D76/C76</f>
        <v>0.00790903121828926</v>
      </c>
    </row>
    <row r="77" customFormat="false" ht="15" hidden="false" customHeight="false" outlineLevel="0" collapsed="false">
      <c r="A77" s="24" t="n">
        <v>76</v>
      </c>
      <c r="B77" s="24" t="s">
        <v>21</v>
      </c>
      <c r="C77" s="25" t="n">
        <v>33611</v>
      </c>
      <c r="D77" s="25" t="n">
        <v>256</v>
      </c>
      <c r="E77" s="1" t="n">
        <f aca="false">$I$2-D77</f>
        <v>574</v>
      </c>
      <c r="F77" s="7" t="n">
        <f aca="false">C77/($I$2-D77)</f>
        <v>58.5557491289199</v>
      </c>
      <c r="G77" s="9" t="n">
        <f aca="false">D77/C77</f>
        <v>0.00761655410431109</v>
      </c>
    </row>
    <row r="78" customFormat="false" ht="15" hidden="false" customHeight="false" outlineLevel="0" collapsed="false">
      <c r="A78" s="24" t="n">
        <v>77</v>
      </c>
      <c r="B78" s="24" t="s">
        <v>40</v>
      </c>
      <c r="C78" s="25" t="n">
        <v>33519</v>
      </c>
      <c r="D78" s="25" t="n">
        <v>276</v>
      </c>
      <c r="E78" s="1" t="n">
        <f aca="false">$I$2-D78</f>
        <v>554</v>
      </c>
      <c r="F78" s="7" t="n">
        <f aca="false">C78/($I$2-D78)</f>
        <v>60.5036101083033</v>
      </c>
      <c r="G78" s="9" t="n">
        <f aca="false">D78/C78</f>
        <v>0.00823413586324174</v>
      </c>
    </row>
    <row r="79" customFormat="false" ht="15" hidden="false" customHeight="false" outlineLevel="0" collapsed="false">
      <c r="A79" s="24" t="n">
        <v>78</v>
      </c>
      <c r="B79" s="24" t="s">
        <v>51</v>
      </c>
      <c r="C79" s="25" t="n">
        <v>33219</v>
      </c>
      <c r="D79" s="25" t="n">
        <v>329</v>
      </c>
      <c r="E79" s="1" t="n">
        <f aca="false">$I$2-D79</f>
        <v>501</v>
      </c>
      <c r="F79" s="7" t="n">
        <f aca="false">C79/($I$2-D79)</f>
        <v>66.3053892215569</v>
      </c>
      <c r="G79" s="9" t="n">
        <f aca="false">D79/C79</f>
        <v>0.00990397061922394</v>
      </c>
    </row>
    <row r="80" customFormat="false" ht="15" hidden="false" customHeight="false" outlineLevel="0" collapsed="false">
      <c r="A80" s="24" t="n">
        <v>79</v>
      </c>
      <c r="B80" s="24" t="s">
        <v>92</v>
      </c>
      <c r="C80" s="25" t="n">
        <v>32697</v>
      </c>
      <c r="D80" s="25" t="n">
        <v>413</v>
      </c>
      <c r="E80" s="1" t="n">
        <f aca="false">$I$2-D80</f>
        <v>417</v>
      </c>
      <c r="F80" s="7" t="n">
        <f aca="false">C80/($I$2-D80)</f>
        <v>78.410071942446</v>
      </c>
      <c r="G80" s="9" t="n">
        <f aca="false">D80/C80</f>
        <v>0.0126311282380647</v>
      </c>
    </row>
    <row r="81" customFormat="false" ht="15" hidden="false" customHeight="false" outlineLevel="0" collapsed="false">
      <c r="A81" s="24" t="n">
        <v>80</v>
      </c>
      <c r="B81" s="24" t="s">
        <v>102</v>
      </c>
      <c r="C81" s="25" t="n">
        <v>31386</v>
      </c>
      <c r="D81" s="25" t="n">
        <v>504</v>
      </c>
      <c r="E81" s="1" t="n">
        <f aca="false">$I$2-D81</f>
        <v>326</v>
      </c>
      <c r="F81" s="7" t="n">
        <f aca="false">C81/($I$2-D81)</f>
        <v>96.2760736196319</v>
      </c>
      <c r="G81" s="9" t="n">
        <f aca="false">D81/C81</f>
        <v>0.0160581150831581</v>
      </c>
    </row>
    <row r="82" customFormat="false" ht="15" hidden="false" customHeight="false" outlineLevel="0" collapsed="false">
      <c r="A82" s="24" t="n">
        <v>81</v>
      </c>
      <c r="B82" s="24" t="s">
        <v>110</v>
      </c>
      <c r="C82" s="25" t="n">
        <v>29530</v>
      </c>
      <c r="D82" s="25" t="n">
        <v>597</v>
      </c>
      <c r="E82" s="1" t="n">
        <f aca="false">$I$2-D82</f>
        <v>233</v>
      </c>
      <c r="F82" s="7" t="n">
        <f aca="false">C82/($I$2-D82)</f>
        <v>126.738197424893</v>
      </c>
      <c r="G82" s="9" t="n">
        <f aca="false">D82/C82</f>
        <v>0.0202167287504233</v>
      </c>
    </row>
    <row r="83" customFormat="false" ht="15" hidden="false" customHeight="false" outlineLevel="0" collapsed="false">
      <c r="A83" s="24" t="n">
        <v>82</v>
      </c>
      <c r="B83" s="24" t="s">
        <v>117</v>
      </c>
      <c r="C83" s="25" t="n">
        <v>27743</v>
      </c>
      <c r="D83" s="25" t="n">
        <v>672</v>
      </c>
      <c r="E83" s="1" t="n">
        <f aca="false">$I$2-D83</f>
        <v>158</v>
      </c>
      <c r="F83" s="7" t="n">
        <f aca="false">C83/($I$2-D83)</f>
        <v>175.588607594937</v>
      </c>
      <c r="G83" s="9" t="n">
        <f aca="false">D83/C83</f>
        <v>0.0242223263525934</v>
      </c>
    </row>
    <row r="84" customFormat="false" ht="15" hidden="false" customHeight="false" outlineLevel="0" collapsed="false">
      <c r="A84" s="24" t="n">
        <v>83</v>
      </c>
      <c r="B84" s="24" t="s">
        <v>121</v>
      </c>
      <c r="C84" s="25" t="n">
        <v>26683</v>
      </c>
      <c r="D84" s="25" t="n">
        <v>700</v>
      </c>
      <c r="E84" s="1" t="n">
        <f aca="false">$I$2-D84</f>
        <v>130</v>
      </c>
      <c r="F84" s="7" t="n">
        <f aca="false">C84/($I$2-D84)</f>
        <v>205.253846153846</v>
      </c>
      <c r="G84" s="9" t="n">
        <f aca="false">D84/C84</f>
        <v>0.0262339317168234</v>
      </c>
    </row>
    <row r="85" customFormat="false" ht="15" hidden="false" customHeight="false" outlineLevel="0" collapsed="false">
      <c r="A85" s="24" t="n">
        <v>84</v>
      </c>
      <c r="B85" s="24" t="s">
        <v>119</v>
      </c>
      <c r="C85" s="25" t="n">
        <v>26601</v>
      </c>
      <c r="D85" s="25" t="n">
        <v>655</v>
      </c>
      <c r="E85" s="1" t="n">
        <f aca="false">$I$2-D85</f>
        <v>175</v>
      </c>
      <c r="F85" s="7" t="n">
        <f aca="false">C85/($I$2-D85)</f>
        <v>152.005714285714</v>
      </c>
      <c r="G85" s="9" t="n">
        <f aca="false">D85/C85</f>
        <v>0.024623134468629</v>
      </c>
    </row>
    <row r="86" customFormat="false" ht="15" hidden="false" customHeight="false" outlineLevel="0" collapsed="false">
      <c r="A86" s="24" t="n">
        <v>85</v>
      </c>
      <c r="B86" s="24" t="s">
        <v>106</v>
      </c>
      <c r="C86" s="25" t="n">
        <v>28834</v>
      </c>
      <c r="D86" s="25" t="n">
        <v>509</v>
      </c>
      <c r="E86" s="1" t="n">
        <f aca="false">$I$2-D86</f>
        <v>321</v>
      </c>
      <c r="F86" s="7" t="n">
        <f aca="false">C86/($I$2-D86)</f>
        <v>89.8255451713396</v>
      </c>
      <c r="G86" s="9" t="n">
        <f aca="false">D86/C86</f>
        <v>0.0176527710341957</v>
      </c>
    </row>
    <row r="87" customFormat="false" ht="15" hidden="false" customHeight="false" outlineLevel="0" collapsed="false">
      <c r="A87" s="24" t="n">
        <v>86</v>
      </c>
      <c r="B87" s="24" t="s">
        <v>37</v>
      </c>
      <c r="C87" s="25" t="n">
        <v>28907</v>
      </c>
      <c r="D87" s="25" t="n">
        <v>344</v>
      </c>
      <c r="E87" s="1" t="n">
        <f aca="false">$I$2-D87</f>
        <v>486</v>
      </c>
      <c r="F87" s="7" t="n">
        <f aca="false">C87/($I$2-D87)</f>
        <v>59.4794238683128</v>
      </c>
      <c r="G87" s="9" t="n">
        <f aca="false">D87/C87</f>
        <v>0.0119002317777701</v>
      </c>
    </row>
    <row r="88" customFormat="false" ht="15" hidden="false" customHeight="false" outlineLevel="0" collapsed="false">
      <c r="A88" s="24" t="n">
        <v>87</v>
      </c>
      <c r="B88" s="24" t="s">
        <v>22</v>
      </c>
      <c r="C88" s="25" t="n">
        <v>30285</v>
      </c>
      <c r="D88" s="25" t="n">
        <v>271</v>
      </c>
      <c r="E88" s="1" t="n">
        <f aca="false">$I$2-D88</f>
        <v>559</v>
      </c>
      <c r="F88" s="7" t="n">
        <f aca="false">C88/($I$2-D88)</f>
        <v>54.1771019677996</v>
      </c>
      <c r="G88" s="9" t="n">
        <f aca="false">D88/C88</f>
        <v>0.00894832425293049</v>
      </c>
    </row>
    <row r="89" customFormat="false" ht="15" hidden="false" customHeight="false" outlineLevel="0" collapsed="false">
      <c r="A89" s="24" t="n">
        <v>88</v>
      </c>
      <c r="B89" s="24" t="s">
        <v>24</v>
      </c>
      <c r="C89" s="25" t="n">
        <v>30652</v>
      </c>
      <c r="D89" s="25" t="n">
        <v>273</v>
      </c>
      <c r="E89" s="1" t="n">
        <f aca="false">$I$2-D89</f>
        <v>557</v>
      </c>
      <c r="F89" s="7" t="n">
        <f aca="false">C89/($I$2-D89)</f>
        <v>55.0305206463196</v>
      </c>
      <c r="G89" s="9" t="n">
        <f aca="false">D89/C89</f>
        <v>0.0089064335116795</v>
      </c>
    </row>
    <row r="90" customFormat="false" ht="15" hidden="false" customHeight="false" outlineLevel="0" collapsed="false">
      <c r="A90" s="24" t="n">
        <v>89</v>
      </c>
      <c r="B90" s="24" t="s">
        <v>33</v>
      </c>
      <c r="C90" s="25" t="n">
        <v>30115</v>
      </c>
      <c r="D90" s="25" t="n">
        <v>322</v>
      </c>
      <c r="E90" s="1" t="n">
        <f aca="false">$I$2-D90</f>
        <v>508</v>
      </c>
      <c r="F90" s="7" t="n">
        <f aca="false">C90/($I$2-D90)</f>
        <v>59.2814960629921</v>
      </c>
      <c r="G90" s="9" t="n">
        <f aca="false">D90/C90</f>
        <v>0.0106923460069733</v>
      </c>
    </row>
    <row r="91" customFormat="false" ht="15" hidden="false" customHeight="false" outlineLevel="0" collapsed="false">
      <c r="A91" s="24" t="n">
        <v>90</v>
      </c>
      <c r="B91" s="24" t="s">
        <v>81</v>
      </c>
      <c r="C91" s="25" t="n">
        <v>29816</v>
      </c>
      <c r="D91" s="25" t="n">
        <v>406</v>
      </c>
      <c r="E91" s="1" t="n">
        <f aca="false">$I$2-D91</f>
        <v>424</v>
      </c>
      <c r="F91" s="7" t="n">
        <f aca="false">C91/($I$2-D91)</f>
        <v>70.3207547169811</v>
      </c>
      <c r="G91" s="9" t="n">
        <f aca="false">D91/C91</f>
        <v>0.0136168500134156</v>
      </c>
    </row>
    <row r="92" customFormat="false" ht="15" hidden="false" customHeight="false" outlineLevel="0" collapsed="false">
      <c r="A92" s="24" t="n">
        <v>91</v>
      </c>
      <c r="B92" s="24" t="s">
        <v>103</v>
      </c>
      <c r="C92" s="25" t="n">
        <v>29381</v>
      </c>
      <c r="D92" s="25" t="n">
        <v>497</v>
      </c>
      <c r="E92" s="1" t="n">
        <f aca="false">$I$2-D92</f>
        <v>333</v>
      </c>
      <c r="F92" s="7" t="n">
        <f aca="false">C92/($I$2-D92)</f>
        <v>88.2312312312312</v>
      </c>
      <c r="G92" s="9" t="n">
        <f aca="false">D92/C92</f>
        <v>0.0169156938157313</v>
      </c>
    </row>
    <row r="93" customFormat="false" ht="15" hidden="false" customHeight="false" outlineLevel="0" collapsed="false">
      <c r="A93" s="24" t="n">
        <v>92</v>
      </c>
      <c r="B93" s="24" t="s">
        <v>112</v>
      </c>
      <c r="C93" s="25" t="n">
        <v>27923</v>
      </c>
      <c r="D93" s="25" t="n">
        <v>594</v>
      </c>
      <c r="E93" s="1" t="n">
        <f aca="false">$I$2-D93</f>
        <v>236</v>
      </c>
      <c r="F93" s="7" t="n">
        <f aca="false">C93/($I$2-D93)</f>
        <v>118.31779661017</v>
      </c>
      <c r="G93" s="9" t="n">
        <f aca="false">D93/C93</f>
        <v>0.0212727858754432</v>
      </c>
    </row>
    <row r="94" customFormat="false" ht="15" hidden="false" customHeight="false" outlineLevel="0" collapsed="false">
      <c r="A94" s="24" t="n">
        <v>93</v>
      </c>
      <c r="B94" s="24" t="s">
        <v>120</v>
      </c>
      <c r="C94" s="25" t="n">
        <v>26171</v>
      </c>
      <c r="D94" s="25" t="n">
        <v>673</v>
      </c>
      <c r="E94" s="1" t="n">
        <f aca="false">$I$2-D94</f>
        <v>157</v>
      </c>
      <c r="F94" s="7" t="n">
        <f aca="false">C94/($I$2-D94)</f>
        <v>166.694267515924</v>
      </c>
      <c r="G94" s="9" t="n">
        <f aca="false">D94/C94</f>
        <v>0.0257154866073134</v>
      </c>
    </row>
    <row r="95" customFormat="false" ht="15" hidden="false" customHeight="false" outlineLevel="0" collapsed="false">
      <c r="A95" s="24" t="n">
        <v>94</v>
      </c>
      <c r="B95" s="24" t="s">
        <v>125</v>
      </c>
      <c r="C95" s="25" t="n">
        <v>24477</v>
      </c>
      <c r="D95" s="25" t="n">
        <v>730</v>
      </c>
      <c r="E95" s="1" t="n">
        <f aca="false">$I$2-D95</f>
        <v>100</v>
      </c>
      <c r="F95" s="7" t="n">
        <f aca="false">C95/($I$2-D95)</f>
        <v>244.77</v>
      </c>
      <c r="G95" s="9" t="n">
        <f aca="false">D95/C95</f>
        <v>0.0298239163296156</v>
      </c>
    </row>
    <row r="96" customFormat="false" ht="15" hidden="false" customHeight="false" outlineLevel="0" collapsed="false">
      <c r="A96" s="24" t="n">
        <v>95</v>
      </c>
      <c r="B96" s="24" t="s">
        <v>127</v>
      </c>
      <c r="C96" s="25" t="n">
        <v>23312</v>
      </c>
      <c r="D96" s="25" t="n">
        <v>729</v>
      </c>
      <c r="E96" s="1" t="n">
        <f aca="false">$I$2-D96</f>
        <v>101</v>
      </c>
      <c r="F96" s="7" t="n">
        <f aca="false">C96/($I$2-D96)</f>
        <v>230.811881188119</v>
      </c>
      <c r="G96" s="9" t="n">
        <f aca="false">D96/C96</f>
        <v>0.0312714481811942</v>
      </c>
    </row>
    <row r="97" customFormat="false" ht="15" hidden="false" customHeight="false" outlineLevel="0" collapsed="false">
      <c r="A97" s="24" t="n">
        <v>96</v>
      </c>
      <c r="B97" s="24" t="s">
        <v>124</v>
      </c>
      <c r="C97" s="25" t="n">
        <v>23542</v>
      </c>
      <c r="D97" s="25" t="n">
        <v>669</v>
      </c>
      <c r="E97" s="1" t="n">
        <f aca="false">$I$2-D97</f>
        <v>161</v>
      </c>
      <c r="F97" s="7" t="n">
        <f aca="false">C97/($I$2-D97)</f>
        <v>146.223602484472</v>
      </c>
      <c r="G97" s="9" t="n">
        <f aca="false">D97/C97</f>
        <v>0.0284172967462408</v>
      </c>
    </row>
    <row r="98" customFormat="false" ht="15" hidden="false" customHeight="false" outlineLevel="0" collapsed="false">
      <c r="A98" s="24" t="n">
        <v>97</v>
      </c>
      <c r="B98" s="24" t="s">
        <v>100</v>
      </c>
      <c r="C98" s="25" t="n">
        <v>25517</v>
      </c>
      <c r="D98" s="25" t="n">
        <v>524</v>
      </c>
      <c r="E98" s="1" t="n">
        <f aca="false">$I$2-D98</f>
        <v>306</v>
      </c>
      <c r="F98" s="7" t="n">
        <f aca="false">C98/($I$2-D98)</f>
        <v>83.3888888888889</v>
      </c>
      <c r="G98" s="9" t="n">
        <f aca="false">D98/C98</f>
        <v>0.020535329388251</v>
      </c>
    </row>
    <row r="99" customFormat="false" ht="15" hidden="false" customHeight="false" outlineLevel="0" collapsed="false">
      <c r="A99" s="24" t="n">
        <v>98</v>
      </c>
      <c r="B99" s="24" t="s">
        <v>19</v>
      </c>
      <c r="C99" s="25" t="n">
        <v>25690</v>
      </c>
      <c r="D99" s="25" t="n">
        <v>349</v>
      </c>
      <c r="E99" s="1" t="n">
        <f aca="false">$I$2-D99</f>
        <v>481</v>
      </c>
      <c r="F99" s="7" t="n">
        <f aca="false">C99/($I$2-D99)</f>
        <v>53.4095634095634</v>
      </c>
      <c r="G99" s="9" t="n">
        <f aca="false">D99/C99</f>
        <v>0.0135850525496302</v>
      </c>
    </row>
    <row r="100" customFormat="false" ht="15" hidden="false" customHeight="false" outlineLevel="0" collapsed="false">
      <c r="A100" s="24" t="n">
        <v>99</v>
      </c>
      <c r="B100" s="24" t="s">
        <v>15</v>
      </c>
      <c r="C100" s="25" t="n">
        <v>27349</v>
      </c>
      <c r="D100" s="25" t="n">
        <v>285</v>
      </c>
      <c r="E100" s="1" t="n">
        <f aca="false">$I$2-D100</f>
        <v>545</v>
      </c>
      <c r="F100" s="7" t="n">
        <f aca="false">C100/($I$2-D100)</f>
        <v>50.1816513761468</v>
      </c>
      <c r="G100" s="9" t="n">
        <f aca="false">D100/C100</f>
        <v>0.0104208563384402</v>
      </c>
    </row>
    <row r="101" customFormat="false" ht="15" hidden="false" customHeight="false" outlineLevel="0" collapsed="false">
      <c r="A101" s="24" t="n">
        <v>100</v>
      </c>
      <c r="B101" s="24" t="s">
        <v>17</v>
      </c>
      <c r="C101" s="25" t="n">
        <v>27265</v>
      </c>
      <c r="D101" s="25" t="n">
        <v>315</v>
      </c>
      <c r="E101" s="1" t="n">
        <f aca="false">$I$2-D101</f>
        <v>515</v>
      </c>
      <c r="F101" s="7" t="n">
        <f aca="false">C101/($I$2-D101)</f>
        <v>52.9417475728155</v>
      </c>
      <c r="G101" s="9" t="n">
        <f aca="false">D101/C101</f>
        <v>0.0115532734274711</v>
      </c>
    </row>
    <row r="102" customFormat="false" ht="15" hidden="false" customHeight="false" outlineLevel="0" collapsed="false">
      <c r="A102" s="24" t="n">
        <v>101</v>
      </c>
      <c r="B102" s="24" t="s">
        <v>41</v>
      </c>
      <c r="C102" s="25" t="n">
        <v>26724</v>
      </c>
      <c r="D102" s="25" t="n">
        <v>397</v>
      </c>
      <c r="E102" s="1" t="n">
        <f aca="false">$I$2-D102</f>
        <v>433</v>
      </c>
      <c r="F102" s="7" t="n">
        <f aca="false">C102/($I$2-D102)</f>
        <v>61.7182448036952</v>
      </c>
      <c r="G102" s="9" t="n">
        <f aca="false">D102/C102</f>
        <v>0.0148555605448286</v>
      </c>
    </row>
    <row r="103" customFormat="false" ht="15" hidden="false" customHeight="false" outlineLevel="0" collapsed="false">
      <c r="A103" s="24" t="n">
        <v>102</v>
      </c>
      <c r="B103" s="24" t="s">
        <v>96</v>
      </c>
      <c r="C103" s="25" t="n">
        <v>26515</v>
      </c>
      <c r="D103" s="25" t="n">
        <v>487</v>
      </c>
      <c r="E103" s="1" t="n">
        <f aca="false">$I$2-D103</f>
        <v>343</v>
      </c>
      <c r="F103" s="7" t="n">
        <f aca="false">C103/($I$2-D103)</f>
        <v>77.3032069970845</v>
      </c>
      <c r="G103" s="9" t="n">
        <f aca="false">D103/C103</f>
        <v>0.0183669620969263</v>
      </c>
    </row>
    <row r="104" customFormat="false" ht="15" hidden="false" customHeight="false" outlineLevel="0" collapsed="false">
      <c r="A104" s="24" t="n">
        <v>103</v>
      </c>
      <c r="B104" s="24" t="s">
        <v>114</v>
      </c>
      <c r="C104" s="25" t="n">
        <v>25911</v>
      </c>
      <c r="D104" s="25" t="n">
        <v>583</v>
      </c>
      <c r="E104" s="1" t="n">
        <f aca="false">$I$2-D104</f>
        <v>247</v>
      </c>
      <c r="F104" s="7" t="n">
        <f aca="false">C104/($I$2-D104)</f>
        <v>104.902834008097</v>
      </c>
      <c r="G104" s="9" t="n">
        <f aca="false">D104/C104</f>
        <v>0.0225000964841187</v>
      </c>
    </row>
    <row r="105" customFormat="false" ht="15" hidden="false" customHeight="false" outlineLevel="0" collapsed="false">
      <c r="A105" s="24" t="n">
        <v>104</v>
      </c>
      <c r="B105" s="24" t="s">
        <v>123</v>
      </c>
      <c r="C105" s="25" t="n">
        <v>24591</v>
      </c>
      <c r="D105" s="25" t="n">
        <v>670</v>
      </c>
      <c r="E105" s="1" t="n">
        <f aca="false">$I$2-D105</f>
        <v>160</v>
      </c>
      <c r="F105" s="7" t="n">
        <f aca="false">C105/($I$2-D105)</f>
        <v>153.69375</v>
      </c>
      <c r="G105" s="9" t="n">
        <f aca="false">D105/C105</f>
        <v>0.0272457403114961</v>
      </c>
    </row>
    <row r="106" customFormat="false" ht="15" hidden="false" customHeight="false" outlineLevel="0" collapsed="false">
      <c r="A106" s="24" t="n">
        <v>105</v>
      </c>
      <c r="B106" s="24" t="s">
        <v>128</v>
      </c>
      <c r="C106" s="25" t="n">
        <v>22871</v>
      </c>
      <c r="D106" s="25" t="n">
        <v>736</v>
      </c>
      <c r="E106" s="1" t="n">
        <f aca="false">$I$2-D106</f>
        <v>94</v>
      </c>
      <c r="F106" s="7" t="n">
        <f aca="false">C106/($I$2-D106)</f>
        <v>243.308510638298</v>
      </c>
      <c r="G106" s="9" t="n">
        <f aca="false">D106/C106</f>
        <v>0.0321804905775873</v>
      </c>
    </row>
    <row r="107" customFormat="false" ht="15" hidden="false" customHeight="false" outlineLevel="0" collapsed="false">
      <c r="A107" s="24" t="n">
        <v>106</v>
      </c>
      <c r="B107" s="24" t="s">
        <v>132</v>
      </c>
      <c r="C107" s="25" t="n">
        <v>21205</v>
      </c>
      <c r="D107" s="25" t="n">
        <v>766</v>
      </c>
      <c r="E107" s="1" t="n">
        <f aca="false">$I$2-D107</f>
        <v>64</v>
      </c>
      <c r="F107" s="7" t="n">
        <f aca="false">C107/($I$2-D107)</f>
        <v>331.328125</v>
      </c>
      <c r="G107" s="9" t="n">
        <f aca="false">D107/C107</f>
        <v>0.0361235557651497</v>
      </c>
    </row>
    <row r="108" customFormat="false" ht="15" hidden="false" customHeight="false" outlineLevel="0" collapsed="false">
      <c r="A108" s="24" t="n">
        <v>107</v>
      </c>
      <c r="B108" s="24" t="s">
        <v>133</v>
      </c>
      <c r="C108" s="25" t="n">
        <v>20337</v>
      </c>
      <c r="D108" s="25" t="n">
        <v>735</v>
      </c>
      <c r="E108" s="1" t="n">
        <f aca="false">$I$2-D108</f>
        <v>95</v>
      </c>
      <c r="F108" s="7" t="n">
        <f aca="false">C108/($I$2-D108)</f>
        <v>214.073684210526</v>
      </c>
      <c r="G108" s="9" t="n">
        <f aca="false">D108/C108</f>
        <v>0.0361410237498156</v>
      </c>
    </row>
    <row r="109" customFormat="false" ht="15" hidden="false" customHeight="false" outlineLevel="0" collapsed="false">
      <c r="A109" s="24" t="n">
        <v>108</v>
      </c>
      <c r="B109" s="24" t="s">
        <v>118</v>
      </c>
      <c r="C109" s="25" t="n">
        <v>20443</v>
      </c>
      <c r="D109" s="25" t="n">
        <v>660</v>
      </c>
      <c r="E109" s="1" t="n">
        <f aca="false">$I$2-D109</f>
        <v>170</v>
      </c>
      <c r="F109" s="7" t="n">
        <f aca="false">C109/($I$2-D109)</f>
        <v>120.252941176471</v>
      </c>
      <c r="G109" s="9" t="n">
        <f aca="false">D109/C109</f>
        <v>0.0322848896932935</v>
      </c>
    </row>
    <row r="110" customFormat="false" ht="15" hidden="false" customHeight="false" outlineLevel="0" collapsed="false">
      <c r="A110" s="24" t="n">
        <v>109</v>
      </c>
      <c r="B110" s="24" t="s">
        <v>87</v>
      </c>
      <c r="C110" s="25" t="n">
        <v>22614</v>
      </c>
      <c r="D110" s="25" t="n">
        <v>516</v>
      </c>
      <c r="E110" s="1" t="n">
        <f aca="false">$I$2-D110</f>
        <v>314</v>
      </c>
      <c r="F110" s="7" t="n">
        <f aca="false">C110/($I$2-D110)</f>
        <v>72.0191082802548</v>
      </c>
      <c r="G110" s="9" t="n">
        <f aca="false">D110/C110</f>
        <v>0.0228177235340939</v>
      </c>
    </row>
    <row r="111" customFormat="false" ht="15" hidden="false" customHeight="false" outlineLevel="0" collapsed="false">
      <c r="A111" s="24" t="n">
        <v>110</v>
      </c>
      <c r="B111" s="24" t="s">
        <v>13</v>
      </c>
      <c r="C111" s="25" t="n">
        <v>22661</v>
      </c>
      <c r="D111" s="25" t="n">
        <v>372</v>
      </c>
      <c r="E111" s="1" t="n">
        <f aca="false">$I$2-D111</f>
        <v>458</v>
      </c>
      <c r="F111" s="7" t="n">
        <f aca="false">C111/($I$2-D111)</f>
        <v>49.4781659388646</v>
      </c>
      <c r="G111" s="9" t="n">
        <f aca="false">D111/C111</f>
        <v>0.0164158686730506</v>
      </c>
    </row>
    <row r="112" customFormat="false" ht="15" hidden="false" customHeight="false" outlineLevel="0" collapsed="false">
      <c r="A112" s="24" t="n">
        <v>111</v>
      </c>
      <c r="B112" s="24" t="s">
        <v>9</v>
      </c>
      <c r="C112" s="25" t="n">
        <v>23906</v>
      </c>
      <c r="D112" s="25" t="n">
        <v>337</v>
      </c>
      <c r="E112" s="1" t="n">
        <f aca="false">$I$2-D112</f>
        <v>493</v>
      </c>
      <c r="F112" s="7" t="n">
        <f aca="false">C112/($I$2-D112)</f>
        <v>48.4908722109534</v>
      </c>
      <c r="G112" s="9" t="n">
        <f aca="false">D112/C112</f>
        <v>0.0140968794444909</v>
      </c>
    </row>
    <row r="113" customFormat="false" ht="15" hidden="false" customHeight="false" outlineLevel="0" collapsed="false">
      <c r="A113" s="24" t="n">
        <v>112</v>
      </c>
      <c r="B113" s="24" t="s">
        <v>26</v>
      </c>
      <c r="C113" s="25" t="n">
        <v>23878</v>
      </c>
      <c r="D113" s="25" t="n">
        <v>398</v>
      </c>
      <c r="E113" s="1" t="n">
        <f aca="false">$I$2-D113</f>
        <v>432</v>
      </c>
      <c r="F113" s="7" t="n">
        <f aca="false">C113/($I$2-D113)</f>
        <v>55.2731481481481</v>
      </c>
      <c r="G113" s="9" t="n">
        <f aca="false">D113/C113</f>
        <v>0.0166680626518134</v>
      </c>
    </row>
    <row r="114" customFormat="false" ht="15" hidden="false" customHeight="false" outlineLevel="0" collapsed="false">
      <c r="A114" s="24" t="n">
        <v>113</v>
      </c>
      <c r="B114" s="24" t="s">
        <v>61</v>
      </c>
      <c r="C114" s="25" t="n">
        <v>23440</v>
      </c>
      <c r="D114" s="25" t="n">
        <v>484</v>
      </c>
      <c r="E114" s="1" t="n">
        <f aca="false">$I$2-D114</f>
        <v>346</v>
      </c>
      <c r="F114" s="7" t="n">
        <f aca="false">C114/($I$2-D114)</f>
        <v>67.7456647398844</v>
      </c>
      <c r="G114" s="9" t="n">
        <f aca="false">D114/C114</f>
        <v>0.0206484641638225</v>
      </c>
    </row>
    <row r="115" customFormat="false" ht="15" hidden="false" customHeight="false" outlineLevel="0" collapsed="false">
      <c r="A115" s="24" t="n">
        <v>114</v>
      </c>
      <c r="B115" s="24" t="s">
        <v>107</v>
      </c>
      <c r="C115" s="25" t="n">
        <v>23029</v>
      </c>
      <c r="D115" s="25" t="n">
        <v>578</v>
      </c>
      <c r="E115" s="1" t="n">
        <f aca="false">$I$2-D115</f>
        <v>252</v>
      </c>
      <c r="F115" s="7" t="n">
        <f aca="false">C115/($I$2-D115)</f>
        <v>91.3849206349206</v>
      </c>
      <c r="G115" s="9" t="n">
        <f aca="false">D115/C115</f>
        <v>0.0250987884840853</v>
      </c>
    </row>
    <row r="116" customFormat="false" ht="15" hidden="false" customHeight="false" outlineLevel="0" collapsed="false">
      <c r="A116" s="24" t="n">
        <v>115</v>
      </c>
      <c r="B116" s="24" t="s">
        <v>122</v>
      </c>
      <c r="C116" s="25" t="n">
        <v>22519</v>
      </c>
      <c r="D116" s="25" t="n">
        <v>667</v>
      </c>
      <c r="E116" s="1" t="n">
        <f aca="false">$I$2-D116</f>
        <v>163</v>
      </c>
      <c r="F116" s="7" t="n">
        <f aca="false">C116/($I$2-D116)</f>
        <v>138.153374233129</v>
      </c>
      <c r="G116" s="9" t="n">
        <f aca="false">D116/C116</f>
        <v>0.0296194324792398</v>
      </c>
    </row>
    <row r="117" customFormat="false" ht="15" hidden="false" customHeight="false" outlineLevel="0" collapsed="false">
      <c r="A117" s="24" t="n">
        <v>116</v>
      </c>
      <c r="B117" s="24" t="s">
        <v>131</v>
      </c>
      <c r="C117" s="25" t="n">
        <v>21182</v>
      </c>
      <c r="D117" s="25" t="n">
        <v>733</v>
      </c>
      <c r="E117" s="1" t="n">
        <f aca="false">$I$2-D117</f>
        <v>97</v>
      </c>
      <c r="F117" s="7" t="n">
        <f aca="false">C117/($I$2-D117)</f>
        <v>218.371134020619</v>
      </c>
      <c r="G117" s="9" t="n">
        <f aca="false">D117/C117</f>
        <v>0.034604853177226</v>
      </c>
    </row>
    <row r="118" customFormat="false" ht="15" hidden="false" customHeight="false" outlineLevel="0" collapsed="false">
      <c r="A118" s="24" t="n">
        <v>117</v>
      </c>
      <c r="B118" s="24" t="s">
        <v>134</v>
      </c>
      <c r="C118" s="25" t="n">
        <v>19502</v>
      </c>
      <c r="D118" s="25" t="n">
        <v>761</v>
      </c>
      <c r="E118" s="1" t="n">
        <f aca="false">$I$2-D118</f>
        <v>69</v>
      </c>
      <c r="F118" s="7" t="n">
        <f aca="false">C118/($I$2-D118)</f>
        <v>282.63768115942</v>
      </c>
      <c r="G118" s="9" t="n">
        <f aca="false">D118/C118</f>
        <v>0.0390216388062763</v>
      </c>
    </row>
    <row r="119" customFormat="false" ht="15" hidden="false" customHeight="false" outlineLevel="0" collapsed="false">
      <c r="A119" s="24" t="n">
        <v>118</v>
      </c>
      <c r="B119" s="24" t="s">
        <v>135</v>
      </c>
      <c r="C119" s="25" t="n">
        <v>18140</v>
      </c>
      <c r="D119" s="25" t="n">
        <v>768</v>
      </c>
      <c r="E119" s="1" t="n">
        <f aca="false">$I$2-D119</f>
        <v>62</v>
      </c>
      <c r="F119" s="7" t="n">
        <f aca="false">C119/($I$2-D119)</f>
        <v>292.58064516129</v>
      </c>
      <c r="G119" s="9" t="n">
        <f aca="false">D119/C119</f>
        <v>0.0423373759647189</v>
      </c>
    </row>
    <row r="120" customFormat="false" ht="15" hidden="false" customHeight="false" outlineLevel="0" collapsed="false">
      <c r="A120" s="24" t="n">
        <v>119</v>
      </c>
      <c r="B120" s="24" t="s">
        <v>130</v>
      </c>
      <c r="C120" s="25" t="n">
        <v>17154</v>
      </c>
      <c r="D120" s="25" t="n">
        <v>740</v>
      </c>
      <c r="E120" s="1" t="n">
        <f aca="false">$I$2-D120</f>
        <v>90</v>
      </c>
      <c r="F120" s="7" t="n">
        <f aca="false">C120/($I$2-D120)</f>
        <v>190.6</v>
      </c>
      <c r="G120" s="9" t="n">
        <f aca="false">D120/C120</f>
        <v>0.0431386265594031</v>
      </c>
    </row>
    <row r="121" customFormat="false" ht="15" hidden="false" customHeight="false" outlineLevel="0" collapsed="false">
      <c r="A121" s="24" t="n">
        <v>120</v>
      </c>
      <c r="B121" s="24" t="s">
        <v>115</v>
      </c>
      <c r="C121" s="25" t="n">
        <v>17348</v>
      </c>
      <c r="D121" s="25" t="n">
        <v>669</v>
      </c>
      <c r="E121" s="1" t="n">
        <f aca="false">$I$2-D121</f>
        <v>161</v>
      </c>
      <c r="F121" s="7" t="n">
        <f aca="false">C121/($I$2-D121)</f>
        <v>107.751552795031</v>
      </c>
      <c r="G121" s="9" t="n">
        <f aca="false">D121/C121</f>
        <v>0.0385635231727</v>
      </c>
    </row>
    <row r="122" customFormat="false" ht="15" hidden="false" customHeight="false" outlineLevel="0" collapsed="false">
      <c r="A122" s="24" t="n">
        <v>121</v>
      </c>
      <c r="B122" s="24" t="s">
        <v>44</v>
      </c>
      <c r="C122" s="25" t="n">
        <v>19351</v>
      </c>
      <c r="D122" s="25" t="n">
        <v>525</v>
      </c>
      <c r="E122" s="1" t="n">
        <f aca="false">$I$2-D122</f>
        <v>305</v>
      </c>
      <c r="F122" s="7" t="n">
        <f aca="false">C122/($I$2-D122)</f>
        <v>63.4459016393443</v>
      </c>
      <c r="G122" s="9" t="n">
        <f aca="false">D122/C122</f>
        <v>0.0271303808588703</v>
      </c>
    </row>
    <row r="123" customFormat="false" ht="15" hidden="false" customHeight="false" outlineLevel="0" collapsed="false">
      <c r="A123" s="24" t="n">
        <v>122</v>
      </c>
      <c r="B123" s="24" t="s">
        <v>7</v>
      </c>
      <c r="C123" s="25" t="n">
        <v>19226</v>
      </c>
      <c r="D123" s="25" t="n">
        <v>420</v>
      </c>
      <c r="E123" s="1" t="n">
        <f aca="false">$I$2-D123</f>
        <v>410</v>
      </c>
      <c r="F123" s="7" t="n">
        <f aca="false">C123/($I$2-D123)</f>
        <v>46.8926829268293</v>
      </c>
      <c r="G123" s="9" t="n">
        <f aca="false">D123/C123</f>
        <v>0.0218454176635806</v>
      </c>
    </row>
    <row r="124" customFormat="false" ht="15" hidden="false" customHeight="false" outlineLevel="0" collapsed="false">
      <c r="A124" s="24" t="n">
        <v>123</v>
      </c>
      <c r="B124" s="24" t="s">
        <v>11</v>
      </c>
      <c r="C124" s="25" t="n">
        <v>20507</v>
      </c>
      <c r="D124" s="25" t="n">
        <v>409</v>
      </c>
      <c r="E124" s="1" t="n">
        <f aca="false">$I$2-D124</f>
        <v>421</v>
      </c>
      <c r="F124" s="7" t="n">
        <f aca="false">C124/($I$2-D124)</f>
        <v>48.7102137767221</v>
      </c>
      <c r="G124" s="9" t="n">
        <f aca="false">D124/C124</f>
        <v>0.0199444092261179</v>
      </c>
    </row>
    <row r="125" customFormat="false" ht="15" hidden="false" customHeight="false" outlineLevel="0" collapsed="false">
      <c r="A125" s="24" t="n">
        <v>124</v>
      </c>
      <c r="B125" s="24" t="s">
        <v>29</v>
      </c>
      <c r="C125" s="25" t="n">
        <v>20592</v>
      </c>
      <c r="D125" s="25" t="n">
        <v>473</v>
      </c>
      <c r="E125" s="1" t="n">
        <f aca="false">$I$2-D125</f>
        <v>357</v>
      </c>
      <c r="F125" s="7" t="n">
        <f aca="false">C125/($I$2-D125)</f>
        <v>57.6806722689076</v>
      </c>
      <c r="G125" s="9" t="n">
        <f aca="false">D125/C125</f>
        <v>0.0229700854700855</v>
      </c>
    </row>
    <row r="126" customFormat="false" ht="15" hidden="false" customHeight="false" outlineLevel="0" collapsed="false">
      <c r="A126" s="24" t="n">
        <v>125</v>
      </c>
      <c r="B126" s="24" t="s">
        <v>93</v>
      </c>
      <c r="C126" s="25" t="n">
        <v>19950</v>
      </c>
      <c r="D126" s="25" t="n">
        <v>566</v>
      </c>
      <c r="E126" s="1" t="n">
        <f aca="false">$I$2-D126</f>
        <v>264</v>
      </c>
      <c r="F126" s="7" t="n">
        <f aca="false">C126/($I$2-D126)</f>
        <v>75.5681818181818</v>
      </c>
      <c r="G126" s="9" t="n">
        <f aca="false">D126/C126</f>
        <v>0.0283709273182957</v>
      </c>
    </row>
    <row r="127" customFormat="false" ht="15" hidden="false" customHeight="false" outlineLevel="0" collapsed="false">
      <c r="A127" s="24" t="n">
        <v>126</v>
      </c>
      <c r="B127" s="24" t="s">
        <v>116</v>
      </c>
      <c r="C127" s="25" t="n">
        <v>19664</v>
      </c>
      <c r="D127" s="25" t="n">
        <v>658</v>
      </c>
      <c r="E127" s="1" t="n">
        <f aca="false">$I$2-D127</f>
        <v>172</v>
      </c>
      <c r="F127" s="7" t="n">
        <f aca="false">C127/($I$2-D127)</f>
        <v>114.325581395349</v>
      </c>
      <c r="G127" s="9" t="n">
        <f aca="false">D127/C127</f>
        <v>0.0334621643612693</v>
      </c>
    </row>
    <row r="128" customFormat="false" ht="15" hidden="false" customHeight="false" outlineLevel="0" collapsed="false">
      <c r="A128" s="24" t="n">
        <v>127</v>
      </c>
      <c r="B128" s="24" t="s">
        <v>129</v>
      </c>
      <c r="C128" s="25" t="n">
        <v>19233</v>
      </c>
      <c r="D128" s="25" t="n">
        <v>729</v>
      </c>
      <c r="E128" s="1" t="n">
        <f aca="false">$I$2-D128</f>
        <v>101</v>
      </c>
      <c r="F128" s="7" t="n">
        <f aca="false">C128/($I$2-D128)</f>
        <v>190.425742574257</v>
      </c>
      <c r="G128" s="9" t="n">
        <f aca="false">D128/C128</f>
        <v>0.0379036031820309</v>
      </c>
    </row>
    <row r="129" customFormat="false" ht="15" hidden="false" customHeight="false" outlineLevel="0" collapsed="false">
      <c r="A129" s="24" t="n">
        <v>128</v>
      </c>
      <c r="B129" s="24" t="s">
        <v>137</v>
      </c>
      <c r="C129" s="25" t="n">
        <v>17938</v>
      </c>
      <c r="D129" s="25" t="n">
        <v>762</v>
      </c>
      <c r="E129" s="1" t="n">
        <f aca="false">$I$2-D129</f>
        <v>68</v>
      </c>
      <c r="F129" s="7" t="n">
        <f aca="false">C129/($I$2-D129)</f>
        <v>263.794117647059</v>
      </c>
      <c r="G129" s="9" t="n">
        <f aca="false">D129/C129</f>
        <v>0.0424796521351321</v>
      </c>
    </row>
    <row r="130" customFormat="false" ht="15" hidden="false" customHeight="false" outlineLevel="0" collapsed="false">
      <c r="A130" s="24" t="n">
        <v>129</v>
      </c>
      <c r="B130" s="24" t="s">
        <v>138</v>
      </c>
      <c r="C130" s="25" t="n">
        <v>16503</v>
      </c>
      <c r="D130" s="25" t="n">
        <v>771</v>
      </c>
      <c r="E130" s="1" t="n">
        <f aca="false">$I$2-D130</f>
        <v>59</v>
      </c>
      <c r="F130" s="7" t="n">
        <f aca="false">C130/($I$2-D130)</f>
        <v>279.71186440678</v>
      </c>
      <c r="G130" s="9" t="n">
        <f aca="false">D130/C130</f>
        <v>0.0467187784039266</v>
      </c>
    </row>
    <row r="131" customFormat="false" ht="15" hidden="false" customHeight="false" outlineLevel="0" collapsed="false">
      <c r="A131" s="24" t="n">
        <v>130</v>
      </c>
      <c r="B131" s="24" t="s">
        <v>136</v>
      </c>
      <c r="C131" s="25" t="n">
        <v>15057</v>
      </c>
      <c r="D131" s="25" t="n">
        <v>771</v>
      </c>
      <c r="E131" s="1" t="n">
        <f aca="false">$I$2-D131</f>
        <v>59</v>
      </c>
      <c r="F131" s="7" t="n">
        <f aca="false">C131/($I$2-D131)</f>
        <v>255.203389830508</v>
      </c>
      <c r="G131" s="9" t="n">
        <f aca="false">D131/C131</f>
        <v>0.0512054194062562</v>
      </c>
    </row>
    <row r="132" customFormat="false" ht="15" hidden="false" customHeight="false" outlineLevel="0" collapsed="false">
      <c r="A132" s="24" t="n">
        <v>131</v>
      </c>
      <c r="B132" s="24" t="s">
        <v>126</v>
      </c>
      <c r="C132" s="25" t="n">
        <v>14190</v>
      </c>
      <c r="D132" s="25" t="n">
        <v>740</v>
      </c>
      <c r="E132" s="1" t="n">
        <f aca="false">$I$2-D132</f>
        <v>90</v>
      </c>
      <c r="F132" s="7" t="n">
        <f aca="false">C132/($I$2-D132)</f>
        <v>157.666666666667</v>
      </c>
      <c r="G132" s="9" t="n">
        <f aca="false">D132/C132</f>
        <v>0.0521494009866103</v>
      </c>
    </row>
    <row r="133" customFormat="false" ht="15" hidden="false" customHeight="false" outlineLevel="0" collapsed="false">
      <c r="A133" s="24" t="n">
        <v>132</v>
      </c>
      <c r="B133" s="24" t="s">
        <v>109</v>
      </c>
      <c r="C133" s="25" t="n">
        <v>14116</v>
      </c>
      <c r="D133" s="25" t="n">
        <v>682</v>
      </c>
      <c r="E133" s="1" t="n">
        <f aca="false">$I$2-D133</f>
        <v>148</v>
      </c>
      <c r="F133" s="7" t="n">
        <f aca="false">C133/($I$2-D133)</f>
        <v>95.3783783783784</v>
      </c>
      <c r="G133" s="9" t="n">
        <f aca="false">D133/C133</f>
        <v>0.0483139699631624</v>
      </c>
    </row>
    <row r="134" customFormat="false" ht="15" hidden="false" customHeight="false" outlineLevel="0" collapsed="false">
      <c r="A134" s="24" t="n">
        <v>133</v>
      </c>
      <c r="B134" s="24" t="s">
        <v>27</v>
      </c>
      <c r="C134" s="25" t="n">
        <v>16539</v>
      </c>
      <c r="D134" s="25" t="n">
        <v>536</v>
      </c>
      <c r="E134" s="1" t="n">
        <f aca="false">$I$2-D134</f>
        <v>294</v>
      </c>
      <c r="F134" s="7" t="n">
        <f aca="false">C134/($I$2-D134)</f>
        <v>56.2551020408163</v>
      </c>
      <c r="G134" s="9" t="n">
        <f aca="false">D134/C134</f>
        <v>0.0324082471733478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2025-08-03T10:26:30Z</dcterms:created>
  <dc:creator>openpyxl</dc:creator>
  <dc:description/>
  <dc:language>es-ES</dc:language>
  <cp:lastModifiedBy/>
  <dcterms:modified xsi:type="dcterms:W3CDTF">2025-11-05T21:43:04Z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